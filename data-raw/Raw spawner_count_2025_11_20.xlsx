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reshwaterfisheries-my.sharepoint.com/personal/paul_askey_gofishbc_com/Documents/FFSBC work docs/Git_projects/KokaneeSpawnerApp/data-raw/"/>
    </mc:Choice>
  </mc:AlternateContent>
  <xr:revisionPtr revIDLastSave="30" documentId="8_{4B324421-F6A9-46F6-8786-D74EC7A98897}" xr6:coauthVersionLast="47" xr6:coauthVersionMax="47" xr10:uidLastSave="{213097DE-B567-45B5-A932-7E2123CAD873}"/>
  <bookViews>
    <workbookView xWindow="-28920" yWindow="-4605" windowWidth="29040" windowHeight="15720" xr2:uid="{00000000-000D-0000-FFFF-FFFF00000000}"/>
  </bookViews>
  <sheets>
    <sheet name="spawner_count_template" sheetId="1" r:id="rId1"/>
    <sheet name="ValidationLists" sheetId="2" r:id="rId2"/>
  </sheets>
  <definedNames>
    <definedName name="_xlnm._FilterDatabase" localSheetId="0" hidden="1">spawner_count_template!$A$1:$P$1000</definedName>
    <definedName name="KALAMALKA">ValidationLists!$A$2:$A$2</definedName>
    <definedName name="OKANAGAN">ValidationLists!$B$2:$B$18</definedName>
    <definedName name="SKAHA">ValidationLists!$C$2:$C$4</definedName>
    <definedName name="WOOD">ValidationLists!$D$2:$D$4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0" i="1" l="1"/>
  <c r="R109" i="1"/>
  <c r="R99" i="1"/>
  <c r="R100" i="1"/>
  <c r="R101" i="1"/>
  <c r="R102" i="1"/>
  <c r="R103" i="1"/>
  <c r="R98" i="1"/>
  <c r="R104" i="1"/>
  <c r="R105" i="1"/>
  <c r="R106" i="1"/>
  <c r="R107" i="1"/>
  <c r="R108" i="1"/>
  <c r="R112" i="1"/>
  <c r="R113" i="1"/>
  <c r="R114" i="1"/>
  <c r="R115" i="1"/>
  <c r="R116" i="1"/>
  <c r="R117" i="1"/>
  <c r="R118" i="1"/>
  <c r="R119" i="1"/>
  <c r="R120" i="1"/>
  <c r="R121" i="1"/>
  <c r="R122" i="1"/>
  <c r="R111" i="1"/>
  <c r="R128" i="1"/>
  <c r="R129" i="1"/>
  <c r="R130" i="1"/>
  <c r="R131" i="1"/>
  <c r="R132" i="1"/>
  <c r="R133" i="1"/>
  <c r="R134" i="1"/>
  <c r="R135" i="1"/>
  <c r="R12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5" i="1"/>
  <c r="R96" i="1"/>
  <c r="R97" i="1"/>
  <c r="R123" i="1"/>
  <c r="R124" i="1"/>
  <c r="R125" i="1"/>
  <c r="R126" i="1"/>
  <c r="R2" i="1"/>
  <c r="K134" i="1"/>
  <c r="K130" i="1"/>
  <c r="K127" i="1"/>
  <c r="K126" i="1"/>
  <c r="K125" i="1"/>
  <c r="K124" i="1"/>
  <c r="K122" i="1"/>
  <c r="K121" i="1"/>
  <c r="K117" i="1"/>
  <c r="K114" i="1"/>
  <c r="K113" i="1"/>
  <c r="K112" i="1"/>
  <c r="K111" i="1"/>
  <c r="K107" i="1"/>
  <c r="K106" i="1"/>
  <c r="K102" i="1"/>
  <c r="K101" i="1"/>
  <c r="K100" i="1"/>
  <c r="K99" i="1"/>
  <c r="K81" i="1"/>
  <c r="K73" i="1"/>
  <c r="K67" i="1"/>
  <c r="K65" i="1"/>
  <c r="K63" i="1"/>
  <c r="K62" i="1"/>
  <c r="K60" i="1"/>
  <c r="K59" i="1"/>
  <c r="K58" i="1"/>
  <c r="K57" i="1"/>
  <c r="K51" i="1"/>
  <c r="K48" i="1"/>
  <c r="K47" i="1"/>
  <c r="K45" i="1"/>
  <c r="K44" i="1"/>
  <c r="K34" i="1"/>
  <c r="K33" i="1"/>
  <c r="K32" i="1"/>
  <c r="K31" i="1"/>
  <c r="K29" i="1"/>
  <c r="K28" i="1"/>
  <c r="K27" i="1"/>
  <c r="K26" i="1"/>
  <c r="K23" i="1"/>
  <c r="K20" i="1"/>
  <c r="K17" i="1"/>
  <c r="K16" i="1"/>
  <c r="K15" i="1"/>
  <c r="K14" i="1"/>
  <c r="K13" i="1"/>
  <c r="K12" i="1"/>
  <c r="K10" i="1"/>
  <c r="K9" i="1"/>
  <c r="K2" i="1"/>
  <c r="F3" i="1" l="1"/>
  <c r="Q3" i="1"/>
  <c r="F4" i="1"/>
  <c r="Q4" i="1"/>
  <c r="F5" i="1"/>
  <c r="Q5" i="1"/>
  <c r="F6" i="1"/>
  <c r="Q6" i="1"/>
  <c r="F7" i="1"/>
  <c r="Q7" i="1"/>
  <c r="F8" i="1"/>
  <c r="Q8" i="1"/>
  <c r="F9" i="1"/>
  <c r="Q9" i="1"/>
  <c r="F10" i="1"/>
  <c r="Q10" i="1"/>
  <c r="F11" i="1"/>
  <c r="Q11" i="1"/>
  <c r="F12" i="1"/>
  <c r="Q12" i="1"/>
  <c r="F13" i="1"/>
  <c r="Q13" i="1"/>
  <c r="F14" i="1"/>
  <c r="Q14" i="1"/>
  <c r="F15" i="1"/>
  <c r="Q15" i="1"/>
  <c r="F16" i="1"/>
  <c r="Q16" i="1"/>
  <c r="F17" i="1"/>
  <c r="Q17" i="1"/>
  <c r="F18" i="1"/>
  <c r="Q18" i="1"/>
  <c r="F19" i="1"/>
  <c r="Q19" i="1"/>
  <c r="F20" i="1"/>
  <c r="Q20" i="1"/>
  <c r="F21" i="1"/>
  <c r="Q21" i="1"/>
  <c r="F22" i="1"/>
  <c r="Q22" i="1"/>
  <c r="F23" i="1"/>
  <c r="Q23" i="1"/>
  <c r="F24" i="1"/>
  <c r="Q24" i="1"/>
  <c r="F25" i="1"/>
  <c r="Q25" i="1"/>
  <c r="F26" i="1"/>
  <c r="Q26" i="1"/>
  <c r="F27" i="1"/>
  <c r="Q27" i="1"/>
  <c r="F28" i="1"/>
  <c r="Q28" i="1"/>
  <c r="F29" i="1"/>
  <c r="Q29" i="1"/>
  <c r="F30" i="1"/>
  <c r="Q30" i="1"/>
  <c r="F31" i="1"/>
  <c r="Q31" i="1"/>
  <c r="F32" i="1"/>
  <c r="Q32" i="1"/>
  <c r="F33" i="1"/>
  <c r="Q33" i="1"/>
  <c r="F34" i="1"/>
  <c r="Q34" i="1"/>
  <c r="F35" i="1"/>
  <c r="Q35" i="1"/>
  <c r="F36" i="1"/>
  <c r="Q36" i="1"/>
  <c r="F37" i="1"/>
  <c r="Q37" i="1"/>
  <c r="F38" i="1"/>
  <c r="Q38" i="1"/>
  <c r="F39" i="1"/>
  <c r="Q39" i="1"/>
  <c r="F40" i="1"/>
  <c r="Q40" i="1"/>
  <c r="F41" i="1"/>
  <c r="Q41" i="1"/>
  <c r="F42" i="1"/>
  <c r="Q42" i="1"/>
  <c r="F43" i="1"/>
  <c r="Q43" i="1"/>
  <c r="F44" i="1"/>
  <c r="Q44" i="1"/>
  <c r="F45" i="1"/>
  <c r="Q45" i="1"/>
  <c r="F46" i="1"/>
  <c r="Q46" i="1"/>
  <c r="F47" i="1"/>
  <c r="Q47" i="1"/>
  <c r="F48" i="1"/>
  <c r="Q48" i="1"/>
  <c r="F49" i="1"/>
  <c r="Q49" i="1"/>
  <c r="F50" i="1"/>
  <c r="Q50" i="1"/>
  <c r="F51" i="1"/>
  <c r="Q51" i="1"/>
  <c r="F52" i="1"/>
  <c r="Q52" i="1"/>
  <c r="F53" i="1"/>
  <c r="Q53" i="1"/>
  <c r="F54" i="1"/>
  <c r="Q54" i="1"/>
  <c r="F55" i="1"/>
  <c r="Q55" i="1"/>
  <c r="F56" i="1"/>
  <c r="Q56" i="1"/>
  <c r="F57" i="1"/>
  <c r="Q57" i="1"/>
  <c r="F58" i="1"/>
  <c r="Q58" i="1"/>
  <c r="F59" i="1"/>
  <c r="Q59" i="1"/>
  <c r="F60" i="1"/>
  <c r="Q60" i="1"/>
  <c r="F61" i="1"/>
  <c r="Q61" i="1"/>
  <c r="F62" i="1"/>
  <c r="Q62" i="1"/>
  <c r="F63" i="1"/>
  <c r="Q63" i="1"/>
  <c r="F64" i="1"/>
  <c r="Q64" i="1"/>
  <c r="F65" i="1"/>
  <c r="Q65" i="1"/>
  <c r="F66" i="1"/>
  <c r="Q66" i="1"/>
  <c r="F67" i="1"/>
  <c r="Q67" i="1"/>
  <c r="F68" i="1"/>
  <c r="Q68" i="1"/>
  <c r="F69" i="1"/>
  <c r="Q69" i="1"/>
  <c r="F70" i="1"/>
  <c r="Q70" i="1"/>
  <c r="F71" i="1"/>
  <c r="Q71" i="1"/>
  <c r="F72" i="1"/>
  <c r="Q72" i="1"/>
  <c r="F73" i="1"/>
  <c r="Q73" i="1"/>
  <c r="F74" i="1"/>
  <c r="Q74" i="1"/>
  <c r="F75" i="1"/>
  <c r="Q75" i="1"/>
  <c r="F76" i="1"/>
  <c r="Q76" i="1"/>
  <c r="F77" i="1"/>
  <c r="Q77" i="1"/>
  <c r="F78" i="1"/>
  <c r="Q78" i="1"/>
  <c r="F79" i="1"/>
  <c r="Q79" i="1"/>
  <c r="F80" i="1"/>
  <c r="Q80" i="1"/>
  <c r="F81" i="1"/>
  <c r="Q81" i="1"/>
  <c r="F82" i="1"/>
  <c r="Q82" i="1"/>
  <c r="F83" i="1"/>
  <c r="Q83" i="1"/>
  <c r="F84" i="1"/>
  <c r="Q84" i="1"/>
  <c r="F85" i="1"/>
  <c r="Q85" i="1"/>
  <c r="F86" i="1"/>
  <c r="Q86" i="1"/>
  <c r="F87" i="1"/>
  <c r="Q87" i="1"/>
  <c r="F88" i="1"/>
  <c r="Q88" i="1"/>
  <c r="F89" i="1"/>
  <c r="Q89" i="1"/>
  <c r="F90" i="1"/>
  <c r="Q90" i="1"/>
  <c r="F91" i="1"/>
  <c r="Q91" i="1"/>
  <c r="F92" i="1"/>
  <c r="Q92" i="1"/>
  <c r="F93" i="1"/>
  <c r="Q93" i="1"/>
  <c r="F94" i="1"/>
  <c r="Q94" i="1"/>
  <c r="F95" i="1"/>
  <c r="Q95" i="1"/>
  <c r="F96" i="1"/>
  <c r="Q96" i="1"/>
  <c r="F97" i="1"/>
  <c r="Q97" i="1"/>
  <c r="F98" i="1"/>
  <c r="Q98" i="1"/>
  <c r="F99" i="1"/>
  <c r="Q99" i="1"/>
  <c r="F100" i="1"/>
  <c r="Q100" i="1"/>
  <c r="F101" i="1"/>
  <c r="Q101" i="1"/>
  <c r="F102" i="1"/>
  <c r="Q102" i="1"/>
  <c r="F103" i="1"/>
  <c r="Q103" i="1"/>
  <c r="F104" i="1"/>
  <c r="Q104" i="1"/>
  <c r="F105" i="1"/>
  <c r="Q105" i="1"/>
  <c r="F106" i="1"/>
  <c r="Q106" i="1"/>
  <c r="F107" i="1"/>
  <c r="Q107" i="1"/>
  <c r="F108" i="1"/>
  <c r="Q108" i="1"/>
  <c r="F109" i="1"/>
  <c r="Q109" i="1"/>
  <c r="F110" i="1"/>
  <c r="Q110" i="1"/>
  <c r="F111" i="1"/>
  <c r="Q111" i="1"/>
  <c r="F112" i="1"/>
  <c r="Q112" i="1"/>
  <c r="F113" i="1"/>
  <c r="Q113" i="1"/>
  <c r="F114" i="1"/>
  <c r="Q114" i="1"/>
  <c r="F115" i="1"/>
  <c r="Q115" i="1"/>
  <c r="F116" i="1"/>
  <c r="Q116" i="1"/>
  <c r="F117" i="1"/>
  <c r="Q117" i="1"/>
  <c r="F118" i="1"/>
  <c r="Q118" i="1"/>
  <c r="F119" i="1"/>
  <c r="Q119" i="1"/>
  <c r="F120" i="1"/>
  <c r="Q120" i="1"/>
  <c r="F121" i="1"/>
  <c r="Q121" i="1"/>
  <c r="F122" i="1"/>
  <c r="Q122" i="1"/>
  <c r="F123" i="1"/>
  <c r="Q123" i="1"/>
  <c r="F124" i="1"/>
  <c r="Q124" i="1"/>
  <c r="F125" i="1"/>
  <c r="Q125" i="1"/>
  <c r="F126" i="1"/>
  <c r="Q126" i="1"/>
  <c r="F127" i="1"/>
  <c r="Q127" i="1"/>
  <c r="F128" i="1"/>
  <c r="Q128" i="1"/>
  <c r="F129" i="1"/>
  <c r="Q129" i="1"/>
  <c r="F130" i="1"/>
  <c r="Q130" i="1"/>
  <c r="F131" i="1"/>
  <c r="Q131" i="1"/>
  <c r="F132" i="1"/>
  <c r="Q132" i="1"/>
  <c r="F133" i="1"/>
  <c r="Q133" i="1"/>
  <c r="F134" i="1"/>
  <c r="Q134" i="1"/>
  <c r="F135" i="1"/>
  <c r="Q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2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Askey, Paul</author>
  </authors>
  <commentList>
    <comment ref="A1" authorId="0" shapeId="0" xr:uid="{1A4A4CD3-C3F4-4AC5-8564-E310EE30A42A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Classify as a stream or shore spawning count
</t>
        </r>
      </text>
    </comment>
    <comment ref="B1" authorId="0" shapeId="0" xr:uid="{0A302EB8-C039-40DD-9869-24C1576F601F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Required, select from dropdown</t>
        </r>
      </text>
    </comment>
    <comment ref="C1" authorId="0" shapeId="0" xr:uid="{3C1A74A3-5BE3-4A56-A604-0587BEF7D421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quadrant of the lake where counts took place based on cardinal directions: NE, SE, SW, NW. This is important for shorespawners, but a good category for streams as well.</t>
        </r>
      </text>
    </comment>
    <comment ref="D1" authorId="0" shapeId="0" xr:uid="{8A2C5A01-3360-4E3C-BF96-C5AA30D0230F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Required, slect from dropdown</t>
        </r>
      </text>
    </comment>
    <comment ref="E1" authorId="0" shapeId="0" xr:uid="{FA861974-17C2-4E57-966E-FF4A669CB4AC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Some streams are divided into specified reaches during counts.
IMPORTANT: Spawning channel on Mission Creek is Reach E for Mission.</t>
        </r>
      </text>
    </comment>
    <comment ref="F1" authorId="0" shapeId="0" xr:uid="{0765CD6E-E0B5-41EA-8A2E-4791B383975A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DO not alter. Auto calculated based on your entries to YEAR, MONTH, DAY</t>
        </r>
      </text>
    </comment>
    <comment ref="G1" authorId="0" shapeId="0" xr:uid="{F1FAA7FB-977E-4E9A-9ABE-EA3D5FEB0277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1970 and present year</t>
        </r>
      </text>
    </comment>
    <comment ref="H1" authorId="0" shapeId="0" xr:uid="{868193AF-BED1-487A-A277-9BE43BBFC9E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 and 12</t>
        </r>
      </text>
    </comment>
    <comment ref="I1" authorId="0" shapeId="0" xr:uid="{D2DAB3A5-3B49-420B-AECD-07CA62CB3C95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 and 31</t>
        </r>
      </text>
    </comment>
    <comment ref="J1" authorId="0" shapeId="0" xr:uid="{26592134-DE5B-4232-BCF5-AD8039295407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format is a simple number HHMM, so 10:30 is 1030.</t>
        </r>
      </text>
    </comment>
    <comment ref="K1" authorId="0" shapeId="0" xr:uid="{CD32FCA1-9562-4BD4-AC97-5797C938DBA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0 and unlimited.</t>
        </r>
      </text>
    </comment>
    <comment ref="L1" authorId="0" shapeId="0" xr:uid="{84442A11-0D94-4C9B-9D04-6266A80D83B1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Integer value between 0 and unlimited.</t>
        </r>
      </text>
    </comment>
    <comment ref="M1" authorId="0" shapeId="0" xr:uid="{A2667536-39D6-4A56-BABD-5B8CCC3689E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Value between 4 and 24.</t>
        </r>
      </text>
    </comment>
    <comment ref="N1" authorId="0" shapeId="0" xr:uid="{ACD12894-4804-4AC8-AEC6-1E420614D389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Text up to 120 characters.</t>
        </r>
      </text>
    </comment>
    <comment ref="Q1" authorId="0" shapeId="0" xr:uid="{91BF24A1-45AA-4DAA-81E8-DC21313E836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Auto-calcualted do not alter. </t>
        </r>
      </text>
    </comment>
  </commentList>
</comments>
</file>

<file path=xl/sharedStrings.xml><?xml version="1.0" encoding="utf-8"?>
<sst xmlns="http://schemas.openxmlformats.org/spreadsheetml/2006/main" count="581" uniqueCount="54">
  <si>
    <t>LAKE</t>
  </si>
  <si>
    <t>STREAM</t>
  </si>
  <si>
    <t>REACH</t>
  </si>
  <si>
    <t>DATE</t>
  </si>
  <si>
    <t>YEAR</t>
  </si>
  <si>
    <t>MONTH</t>
  </si>
  <si>
    <t>DAY</t>
  </si>
  <si>
    <t>NO_LIVE</t>
  </si>
  <si>
    <t>NO_DEAD</t>
  </si>
  <si>
    <t>TEMP_C</t>
  </si>
  <si>
    <t>COMMENTS</t>
  </si>
  <si>
    <t>DOY</t>
  </si>
  <si>
    <t>KALAMALKA</t>
  </si>
  <si>
    <t>OKANAGAN</t>
  </si>
  <si>
    <t>SKAHA</t>
  </si>
  <si>
    <t>WOOD</t>
  </si>
  <si>
    <t>COLDSTREAM</t>
  </si>
  <si>
    <t>ENEAS</t>
  </si>
  <si>
    <t>ELLIS</t>
  </si>
  <si>
    <t>MIDDLE VERNON</t>
  </si>
  <si>
    <t>OKANAGAN RIVER</t>
  </si>
  <si>
    <t>UPPER VERNON</t>
  </si>
  <si>
    <t>LAMBLY</t>
  </si>
  <si>
    <t>SHINGLE</t>
  </si>
  <si>
    <t>WINFIELD</t>
  </si>
  <si>
    <t>MISSION</t>
  </si>
  <si>
    <t>NARAMATA</t>
  </si>
  <si>
    <t>PEACHLAND</t>
  </si>
  <si>
    <t>PENTICTON</t>
  </si>
  <si>
    <t>POWERS</t>
  </si>
  <si>
    <t>PRAIRIE VALLEY</t>
  </si>
  <si>
    <t>ROBINSON</t>
  </si>
  <si>
    <t>SHORTS</t>
  </si>
  <si>
    <t>TREPANIER</t>
  </si>
  <si>
    <t>TROUT</t>
  </si>
  <si>
    <t>VERNON</t>
  </si>
  <si>
    <t>EQUESIS</t>
  </si>
  <si>
    <t>MILL</t>
  </si>
  <si>
    <t>NASHWITO</t>
  </si>
  <si>
    <t>WHITEMAN</t>
  </si>
  <si>
    <t>QUADRANT</t>
  </si>
  <si>
    <t>ECOTYPE</t>
  </si>
  <si>
    <t>TIME</t>
  </si>
  <si>
    <t>NE</t>
  </si>
  <si>
    <t>SHORE</t>
  </si>
  <si>
    <t>SE</t>
  </si>
  <si>
    <t>NW</t>
  </si>
  <si>
    <t>WEATHER</t>
  </si>
  <si>
    <t>VISIBILITY</t>
  </si>
  <si>
    <t>GOOD</t>
  </si>
  <si>
    <t>MODERATE</t>
  </si>
  <si>
    <t>MODERATE-GOOD</t>
  </si>
  <si>
    <t>POOR</t>
  </si>
  <si>
    <t>POOR-MODERATE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</si>
</sst>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" fillId="4" borderId="1" xfId="1" applyFont="1" applyFill="1" applyBorder="1" applyAlignment="1">
      <alignment horizontal="center"/>
    </xf>
    <xf numFmtId="14" fontId="0" fillId="0" borderId="0" xfId="0" applyNumberFormat="1"/>
    <xf numFmtId="0" fontId="0" fillId="5" borderId="0" xfId="0" applyFill="1" applyAlignment="1">
      <alignment horizontal="center"/>
    </xf>
    <xf numFmtId="0" fontId="2" fillId="0" borderId="1" xfId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Protection="1">
      <protection locked="0"/>
    </xf>
  </cellXfs>
  <cellStyles count="2">
    <cellStyle name="Normal" xfId="0" builtinId="0"/>
    <cellStyle name="Normal_Sheet1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127" workbookViewId="0">
      <selection activeCell="Q135" sqref="A2:Q135"/>
    </sheetView>
  </sheetViews>
  <sheetFormatPr defaultColWidth="8.88671875" defaultRowHeight="14.4" x14ac:dyDescent="0.3"/>
  <cols>
    <col min="1" max="1" width="8.88671875" style="4"/>
    <col min="2" max="3" width="11.5546875" style="4" customWidth="1"/>
    <col min="4" max="5" width="8.88671875" style="4"/>
    <col min="6" max="6" width="10.33203125" bestFit="1" customWidth="1"/>
    <col min="7" max="16384" width="8.88671875" style="4"/>
  </cols>
  <sheetData>
    <row r="1" spans="1:18" x14ac:dyDescent="0.3">
      <c r="A1" s="1" t="s">
        <v>41</v>
      </c>
      <c r="B1" s="1" t="s">
        <v>0</v>
      </c>
      <c r="C1" s="2" t="s">
        <v>40</v>
      </c>
      <c r="D1" s="2" t="s">
        <v>1</v>
      </c>
      <c r="E1" s="2" t="s">
        <v>2</v>
      </c>
      <c r="F1" s="5" t="s">
        <v>3</v>
      </c>
      <c r="G1" s="1" t="s">
        <v>4</v>
      </c>
      <c r="H1" s="1" t="s">
        <v>5</v>
      </c>
      <c r="I1" s="1" t="s">
        <v>6</v>
      </c>
      <c r="J1" s="8" t="s">
        <v>42</v>
      </c>
      <c r="K1" s="1" t="s">
        <v>7</v>
      </c>
      <c r="L1" s="2" t="s">
        <v>8</v>
      </c>
      <c r="M1" s="2" t="s">
        <v>9</v>
      </c>
      <c r="N1" s="3" t="s">
        <v>10</v>
      </c>
      <c r="O1" s="4" t="s">
        <v>47</v>
      </c>
      <c r="P1" s="4" t="s">
        <v>48</v>
      </c>
      <c r="Q1" s="7" t="s">
        <v>11</v>
      </c>
    </row>
    <row r="2" spans="1:18" x14ac:dyDescent="0.3">
      <c r="A2" s="4" t="s">
        <v>44</v>
      </c>
      <c r="B2" s="4" t="s">
        <v>13</v>
      </c>
      <c r="C2" s="4" t="s">
        <v>45</v>
      </c>
      <c r="E2" s="9">
        <v>1</v>
      </c>
      <c r="F2" s="6">
        <f>IF(AND(ISNUMBER(G2),ISNUMBER(H2),ISNUMBER(I2)),DATE(G2,H2,I2),"")</f>
        <v>45944</v>
      </c>
      <c r="G2" s="4">
        <v>2025</v>
      </c>
      <c r="H2" s="4">
        <v>10</v>
      </c>
      <c r="I2" s="4">
        <v>14</v>
      </c>
      <c r="J2" s="10">
        <v>1001</v>
      </c>
      <c r="K2" s="10">
        <f>150+30+150+30+2000+200</f>
        <v>2560</v>
      </c>
      <c r="M2">
        <v>14.9</v>
      </c>
      <c r="N2"/>
      <c r="P2" s="4" t="s">
        <v>53</v>
      </c>
      <c r="Q2">
        <f>IF(AND(ISNUMBER(G2),ISNUMBER(H2),ISNUMBER(I2)), DATE(G2,H2,I2)-DATE(G2,1,1)+1, "")</f>
        <v>287</v>
      </c>
      <c r="R2" s="11">
        <f>HOUR(J2)*100+MINUTE(J2)</f>
        <v>0</v>
      </c>
    </row>
    <row r="3" spans="1:18" x14ac:dyDescent="0.3">
      <c r="A3" s="4" t="s">
        <v>44</v>
      </c>
      <c r="B3" s="4" t="s">
        <v>13</v>
      </c>
      <c r="C3" s="4" t="s">
        <v>45</v>
      </c>
      <c r="E3" s="9">
        <v>2</v>
      </c>
      <c r="F3" s="6">
        <f t="shared" ref="F3:F66" si="0">IF(AND(ISNUMBER(G3),ISNUMBER(H3),ISNUMBER(I3)),DATE(G3,H3,I3),"")</f>
        <v>45944</v>
      </c>
      <c r="G3" s="4">
        <v>2025</v>
      </c>
      <c r="H3" s="4">
        <v>10</v>
      </c>
      <c r="I3" s="4">
        <v>14</v>
      </c>
      <c r="J3" s="10">
        <v>1012</v>
      </c>
      <c r="K3" s="10">
        <v>50</v>
      </c>
      <c r="M3">
        <v>14.9</v>
      </c>
      <c r="N3"/>
      <c r="P3" s="4" t="s">
        <v>53</v>
      </c>
      <c r="Q3">
        <f>IF(AND(ISNUMBER(G3),ISNUMBER(H3),ISNUMBER(I3)), DATE(G3,H3,I3)-DATE(G3,1,1)+1, "")</f>
        <v>287</v>
      </c>
      <c r="R3" s="11">
        <f t="shared" ref="R3:R66" si="1">HOUR(J3)*100+MINUTE(J3)</f>
        <v>0</v>
      </c>
    </row>
    <row r="4" spans="1:18" x14ac:dyDescent="0.3">
      <c r="A4" s="4" t="s">
        <v>44</v>
      </c>
      <c r="B4" s="4" t="s">
        <v>13</v>
      </c>
      <c r="C4" s="4" t="s">
        <v>45</v>
      </c>
      <c r="E4" s="9">
        <v>3</v>
      </c>
      <c r="F4" s="6">
        <f t="shared" si="0"/>
        <v>45944</v>
      </c>
      <c r="G4" s="4">
        <v>2025</v>
      </c>
      <c r="H4" s="4">
        <v>10</v>
      </c>
      <c r="I4" s="4">
        <v>14</v>
      </c>
      <c r="J4" s="10">
        <v>1018</v>
      </c>
      <c r="K4" s="10">
        <v>200</v>
      </c>
      <c r="M4">
        <v>14.9</v>
      </c>
      <c r="N4"/>
      <c r="P4" s="4" t="s">
        <v>53</v>
      </c>
      <c r="Q4">
        <f>IF(AND(ISNUMBER(G4),ISNUMBER(H4),ISNUMBER(I4)), DATE(G4,H4,I4)-DATE(G4,1,1)+1, "")</f>
        <v>287</v>
      </c>
      <c r="R4" s="11">
        <f t="shared" si="1"/>
        <v>0</v>
      </c>
    </row>
    <row r="5" spans="1:18" x14ac:dyDescent="0.3">
      <c r="A5" s="4" t="s">
        <v>44</v>
      </c>
      <c r="B5" s="4" t="s">
        <v>13</v>
      </c>
      <c r="C5" s="4" t="s">
        <v>45</v>
      </c>
      <c r="E5" s="9">
        <v>4</v>
      </c>
      <c r="F5" s="6">
        <f t="shared" si="0"/>
        <v>45944</v>
      </c>
      <c r="G5" s="4">
        <v>2025</v>
      </c>
      <c r="H5" s="4">
        <v>10</v>
      </c>
      <c r="I5" s="4">
        <v>14</v>
      </c>
      <c r="J5" s="10">
        <v>1020</v>
      </c>
      <c r="K5" s="10">
        <v>1000</v>
      </c>
      <c r="M5">
        <v>14.9</v>
      </c>
      <c r="N5"/>
      <c r="P5" s="4" t="s">
        <v>53</v>
      </c>
      <c r="Q5">
        <f>IF(AND(ISNUMBER(G5),ISNUMBER(H5),ISNUMBER(I5)), DATE(G5,H5,I5)-DATE(G5,1,1)+1, "")</f>
        <v>287</v>
      </c>
      <c r="R5" s="11">
        <f t="shared" si="1"/>
        <v>0</v>
      </c>
    </row>
    <row r="6" spans="1:18" x14ac:dyDescent="0.3">
      <c r="A6" s="4" t="s">
        <v>44</v>
      </c>
      <c r="B6" s="4" t="s">
        <v>13</v>
      </c>
      <c r="C6" s="4" t="s">
        <v>45</v>
      </c>
      <c r="E6" s="9">
        <v>5</v>
      </c>
      <c r="F6" s="6">
        <f t="shared" si="0"/>
        <v>45944</v>
      </c>
      <c r="G6" s="4">
        <v>2025</v>
      </c>
      <c r="H6" s="4">
        <v>10</v>
      </c>
      <c r="I6" s="4">
        <v>14</v>
      </c>
      <c r="J6" s="10">
        <v>1022</v>
      </c>
      <c r="K6" s="10">
        <v>600</v>
      </c>
      <c r="M6">
        <v>14.9</v>
      </c>
      <c r="N6"/>
      <c r="P6" s="4" t="s">
        <v>53</v>
      </c>
      <c r="Q6">
        <f>IF(AND(ISNUMBER(G6),ISNUMBER(H6),ISNUMBER(I6)), DATE(G6,H6,I6)-DATE(G6,1,1)+1, "")</f>
        <v>287</v>
      </c>
      <c r="R6" s="11">
        <f t="shared" si="1"/>
        <v>0</v>
      </c>
    </row>
    <row r="7" spans="1:18" x14ac:dyDescent="0.3">
      <c r="A7" s="4" t="s">
        <v>44</v>
      </c>
      <c r="B7" s="4" t="s">
        <v>13</v>
      </c>
      <c r="C7" s="4" t="s">
        <v>45</v>
      </c>
      <c r="E7" s="9">
        <v>6</v>
      </c>
      <c r="F7" s="6">
        <f t="shared" si="0"/>
        <v>45944</v>
      </c>
      <c r="G7" s="4">
        <v>2025</v>
      </c>
      <c r="H7" s="4">
        <v>10</v>
      </c>
      <c r="I7" s="4">
        <v>14</v>
      </c>
      <c r="J7" s="10">
        <v>1026</v>
      </c>
      <c r="K7" s="10">
        <v>100</v>
      </c>
      <c r="M7">
        <v>14.9</v>
      </c>
      <c r="N7"/>
      <c r="P7" s="4" t="s">
        <v>53</v>
      </c>
      <c r="Q7">
        <f>IF(AND(ISNUMBER(G7),ISNUMBER(H7),ISNUMBER(I7)), DATE(G7,H7,I7)-DATE(G7,1,1)+1, "")</f>
        <v>287</v>
      </c>
      <c r="R7" s="11">
        <f t="shared" si="1"/>
        <v>0</v>
      </c>
    </row>
    <row r="8" spans="1:18" x14ac:dyDescent="0.3">
      <c r="A8" s="4" t="s">
        <v>44</v>
      </c>
      <c r="B8" s="4" t="s">
        <v>13</v>
      </c>
      <c r="C8" s="4" t="s">
        <v>45</v>
      </c>
      <c r="E8" s="9">
        <v>8</v>
      </c>
      <c r="F8" s="6">
        <f t="shared" si="0"/>
        <v>45944</v>
      </c>
      <c r="G8" s="4">
        <v>2025</v>
      </c>
      <c r="H8" s="4">
        <v>10</v>
      </c>
      <c r="I8" s="4">
        <v>14</v>
      </c>
      <c r="J8" s="10">
        <v>1035</v>
      </c>
      <c r="K8" s="10">
        <v>190</v>
      </c>
      <c r="M8">
        <v>14.9</v>
      </c>
      <c r="N8"/>
      <c r="P8" s="4" t="s">
        <v>53</v>
      </c>
      <c r="Q8">
        <f>IF(AND(ISNUMBER(G8),ISNUMBER(H8),ISNUMBER(I8)), DATE(G8,H8,I8)-DATE(G8,1,1)+1, "")</f>
        <v>287</v>
      </c>
      <c r="R8" s="11">
        <f t="shared" si="1"/>
        <v>0</v>
      </c>
    </row>
    <row r="9" spans="1:18" x14ac:dyDescent="0.3">
      <c r="A9" s="4" t="s">
        <v>44</v>
      </c>
      <c r="B9" s="4" t="s">
        <v>13</v>
      </c>
      <c r="C9" s="4" t="s">
        <v>45</v>
      </c>
      <c r="E9" s="9">
        <v>9</v>
      </c>
      <c r="F9" s="6">
        <f t="shared" si="0"/>
        <v>45944</v>
      </c>
      <c r="G9" s="4">
        <v>2025</v>
      </c>
      <c r="H9" s="4">
        <v>10</v>
      </c>
      <c r="I9" s="4">
        <v>14</v>
      </c>
      <c r="J9" s="10">
        <v>1041</v>
      </c>
      <c r="K9" s="10">
        <f>300+2600+150</f>
        <v>3050</v>
      </c>
      <c r="M9">
        <v>14.9</v>
      </c>
      <c r="N9"/>
      <c r="P9" s="4" t="s">
        <v>53</v>
      </c>
      <c r="Q9">
        <f>IF(AND(ISNUMBER(G9),ISNUMBER(H9),ISNUMBER(I9)), DATE(G9,H9,I9)-DATE(G9,1,1)+1, "")</f>
        <v>287</v>
      </c>
      <c r="R9" s="11">
        <f t="shared" si="1"/>
        <v>0</v>
      </c>
    </row>
    <row r="10" spans="1:18" x14ac:dyDescent="0.3">
      <c r="A10" s="4" t="s">
        <v>44</v>
      </c>
      <c r="B10" s="4" t="s">
        <v>13</v>
      </c>
      <c r="C10" s="4" t="s">
        <v>45</v>
      </c>
      <c r="E10" s="9">
        <v>10</v>
      </c>
      <c r="F10" s="6">
        <f t="shared" si="0"/>
        <v>45944</v>
      </c>
      <c r="G10" s="4">
        <v>2025</v>
      </c>
      <c r="H10" s="4">
        <v>10</v>
      </c>
      <c r="I10" s="4">
        <v>14</v>
      </c>
      <c r="J10" s="10">
        <v>1045</v>
      </c>
      <c r="K10" s="10">
        <f>900+800</f>
        <v>1700</v>
      </c>
      <c r="M10">
        <v>14.9</v>
      </c>
      <c r="N10"/>
      <c r="P10" s="4" t="s">
        <v>53</v>
      </c>
      <c r="Q10">
        <f>IF(AND(ISNUMBER(G10),ISNUMBER(H10),ISNUMBER(I10)), DATE(G10,H10,I10)-DATE(G10,1,1)+1, "")</f>
        <v>287</v>
      </c>
      <c r="R10" s="11">
        <f t="shared" si="1"/>
        <v>0</v>
      </c>
    </row>
    <row r="11" spans="1:18" x14ac:dyDescent="0.3">
      <c r="A11" s="4" t="s">
        <v>44</v>
      </c>
      <c r="B11" s="4" t="s">
        <v>13</v>
      </c>
      <c r="C11" s="4" t="s">
        <v>45</v>
      </c>
      <c r="E11" s="9">
        <v>12</v>
      </c>
      <c r="F11" s="6">
        <f t="shared" si="0"/>
        <v>45944</v>
      </c>
      <c r="G11" s="4">
        <v>2025</v>
      </c>
      <c r="H11" s="4">
        <v>10</v>
      </c>
      <c r="I11" s="4">
        <v>14</v>
      </c>
      <c r="J11" s="10">
        <v>1103</v>
      </c>
      <c r="K11" s="10">
        <v>50</v>
      </c>
      <c r="M11">
        <v>14.9</v>
      </c>
      <c r="N11"/>
      <c r="P11" s="4" t="s">
        <v>53</v>
      </c>
      <c r="Q11">
        <f>IF(AND(ISNUMBER(G11),ISNUMBER(H11),ISNUMBER(I11)), DATE(G11,H11,I11)-DATE(G11,1,1)+1, "")</f>
        <v>287</v>
      </c>
      <c r="R11" s="11">
        <f t="shared" si="1"/>
        <v>0</v>
      </c>
    </row>
    <row r="12" spans="1:18" x14ac:dyDescent="0.3">
      <c r="A12" s="4" t="s">
        <v>44</v>
      </c>
      <c r="B12" s="4" t="s">
        <v>13</v>
      </c>
      <c r="C12" s="4" t="s">
        <v>45</v>
      </c>
      <c r="E12" s="9">
        <v>13</v>
      </c>
      <c r="F12" s="6">
        <f t="shared" si="0"/>
        <v>45944</v>
      </c>
      <c r="G12" s="4">
        <v>2025</v>
      </c>
      <c r="H12" s="4">
        <v>10</v>
      </c>
      <c r="I12" s="4">
        <v>14</v>
      </c>
      <c r="J12" s="10">
        <v>1105</v>
      </c>
      <c r="K12" s="10">
        <f>1000+200+150+250+1200+600</f>
        <v>3400</v>
      </c>
      <c r="M12">
        <v>14.9</v>
      </c>
      <c r="N12"/>
      <c r="P12" s="4" t="s">
        <v>53</v>
      </c>
      <c r="Q12">
        <f>IF(AND(ISNUMBER(G12),ISNUMBER(H12),ISNUMBER(I12)), DATE(G12,H12,I12)-DATE(G12,1,1)+1, "")</f>
        <v>287</v>
      </c>
      <c r="R12" s="11">
        <f t="shared" si="1"/>
        <v>0</v>
      </c>
    </row>
    <row r="13" spans="1:18" x14ac:dyDescent="0.3">
      <c r="A13" s="4" t="s">
        <v>44</v>
      </c>
      <c r="B13" s="4" t="s">
        <v>13</v>
      </c>
      <c r="C13" s="4" t="s">
        <v>45</v>
      </c>
      <c r="E13" s="9">
        <v>14</v>
      </c>
      <c r="F13" s="6">
        <f t="shared" si="0"/>
        <v>45944</v>
      </c>
      <c r="G13" s="4">
        <v>2025</v>
      </c>
      <c r="H13" s="4">
        <v>10</v>
      </c>
      <c r="I13" s="4">
        <v>14</v>
      </c>
      <c r="J13" s="10">
        <v>1111</v>
      </c>
      <c r="K13" s="10">
        <f>350+500</f>
        <v>850</v>
      </c>
      <c r="M13">
        <v>14.9</v>
      </c>
      <c r="N13"/>
      <c r="P13" s="4" t="s">
        <v>53</v>
      </c>
      <c r="Q13">
        <f>IF(AND(ISNUMBER(G13),ISNUMBER(H13),ISNUMBER(I13)), DATE(G13,H13,I13)-DATE(G13,1,1)+1, "")</f>
        <v>287</v>
      </c>
      <c r="R13" s="11">
        <f t="shared" si="1"/>
        <v>0</v>
      </c>
    </row>
    <row r="14" spans="1:18" x14ac:dyDescent="0.3">
      <c r="A14" s="4" t="s">
        <v>44</v>
      </c>
      <c r="B14" s="4" t="s">
        <v>13</v>
      </c>
      <c r="C14" s="4" t="s">
        <v>45</v>
      </c>
      <c r="E14" s="9">
        <v>15</v>
      </c>
      <c r="F14" s="6">
        <f t="shared" si="0"/>
        <v>45944</v>
      </c>
      <c r="G14" s="4">
        <v>2025</v>
      </c>
      <c r="H14" s="4">
        <v>10</v>
      </c>
      <c r="I14" s="4">
        <v>14</v>
      </c>
      <c r="J14" s="10">
        <v>1112</v>
      </c>
      <c r="K14" s="10">
        <f>1900+850</f>
        <v>2750</v>
      </c>
      <c r="M14">
        <v>14.9</v>
      </c>
      <c r="N14"/>
      <c r="P14" s="4" t="s">
        <v>53</v>
      </c>
      <c r="Q14">
        <f>IF(AND(ISNUMBER(G14),ISNUMBER(H14),ISNUMBER(I14)), DATE(G14,H14,I14)-DATE(G14,1,1)+1, "")</f>
        <v>287</v>
      </c>
      <c r="R14" s="11">
        <f t="shared" si="1"/>
        <v>0</v>
      </c>
    </row>
    <row r="15" spans="1:18" x14ac:dyDescent="0.3">
      <c r="A15" s="4" t="s">
        <v>44</v>
      </c>
      <c r="B15" s="4" t="s">
        <v>13</v>
      </c>
      <c r="C15" s="4" t="s">
        <v>45</v>
      </c>
      <c r="E15" s="9">
        <v>16</v>
      </c>
      <c r="F15" s="6">
        <f t="shared" si="0"/>
        <v>45944</v>
      </c>
      <c r="G15" s="4">
        <v>2025</v>
      </c>
      <c r="H15" s="4">
        <v>10</v>
      </c>
      <c r="I15" s="4">
        <v>14</v>
      </c>
      <c r="J15" s="10">
        <v>1115</v>
      </c>
      <c r="K15" s="10">
        <f>1200+700+550+2000+300+800+200+200</f>
        <v>5950</v>
      </c>
      <c r="M15">
        <v>14.9</v>
      </c>
      <c r="N15"/>
      <c r="P15" s="4" t="s">
        <v>53</v>
      </c>
      <c r="Q15">
        <f>IF(AND(ISNUMBER(G15),ISNUMBER(H15),ISNUMBER(I15)), DATE(G15,H15,I15)-DATE(G15,1,1)+1, "")</f>
        <v>287</v>
      </c>
      <c r="R15" s="11">
        <f t="shared" si="1"/>
        <v>0</v>
      </c>
    </row>
    <row r="16" spans="1:18" x14ac:dyDescent="0.3">
      <c r="A16" s="4" t="s">
        <v>44</v>
      </c>
      <c r="B16" s="4" t="s">
        <v>13</v>
      </c>
      <c r="C16" s="4" t="s">
        <v>45</v>
      </c>
      <c r="E16" s="9">
        <v>17</v>
      </c>
      <c r="F16" s="6">
        <f t="shared" si="0"/>
        <v>45944</v>
      </c>
      <c r="G16" s="4">
        <v>2025</v>
      </c>
      <c r="H16" s="4">
        <v>10</v>
      </c>
      <c r="I16" s="4">
        <v>14</v>
      </c>
      <c r="J16" s="10">
        <v>1122</v>
      </c>
      <c r="K16" s="10">
        <f>700+2600+300</f>
        <v>3600</v>
      </c>
      <c r="M16">
        <v>14.9</v>
      </c>
      <c r="N16"/>
      <c r="P16" s="4" t="s">
        <v>53</v>
      </c>
      <c r="Q16">
        <f>IF(AND(ISNUMBER(G16),ISNUMBER(H16),ISNUMBER(I16)), DATE(G16,H16,I16)-DATE(G16,1,1)+1, "")</f>
        <v>287</v>
      </c>
      <c r="R16" s="11">
        <f t="shared" si="1"/>
        <v>0</v>
      </c>
    </row>
    <row r="17" spans="1:18" x14ac:dyDescent="0.3">
      <c r="A17" s="4" t="s">
        <v>44</v>
      </c>
      <c r="B17" s="4" t="s">
        <v>13</v>
      </c>
      <c r="C17" s="4" t="s">
        <v>45</v>
      </c>
      <c r="E17" s="9">
        <v>18</v>
      </c>
      <c r="F17" s="6">
        <f t="shared" si="0"/>
        <v>45944</v>
      </c>
      <c r="G17" s="4">
        <v>2025</v>
      </c>
      <c r="H17" s="4">
        <v>10</v>
      </c>
      <c r="I17" s="4">
        <v>14</v>
      </c>
      <c r="J17" s="10">
        <v>1129</v>
      </c>
      <c r="K17" s="10">
        <f>1100+250+700</f>
        <v>2050</v>
      </c>
      <c r="M17">
        <v>14.9</v>
      </c>
      <c r="N17"/>
      <c r="P17" s="4" t="s">
        <v>53</v>
      </c>
      <c r="Q17">
        <f>IF(AND(ISNUMBER(G17),ISNUMBER(H17),ISNUMBER(I17)), DATE(G17,H17,I17)-DATE(G17,1,1)+1, "")</f>
        <v>287</v>
      </c>
      <c r="R17" s="11">
        <f t="shared" si="1"/>
        <v>0</v>
      </c>
    </row>
    <row r="18" spans="1:18" x14ac:dyDescent="0.3">
      <c r="A18" s="4" t="s">
        <v>44</v>
      </c>
      <c r="B18" s="4" t="s">
        <v>13</v>
      </c>
      <c r="C18" s="4" t="s">
        <v>45</v>
      </c>
      <c r="E18" s="9">
        <v>19</v>
      </c>
      <c r="F18" s="6">
        <f t="shared" si="0"/>
        <v>45944</v>
      </c>
      <c r="G18" s="4">
        <v>2025</v>
      </c>
      <c r="H18" s="4">
        <v>10</v>
      </c>
      <c r="I18" s="4">
        <v>14</v>
      </c>
      <c r="J18" s="10">
        <v>1135</v>
      </c>
      <c r="K18" s="11">
        <v>0</v>
      </c>
      <c r="M18">
        <v>14.9</v>
      </c>
      <c r="N18"/>
      <c r="P18" s="4" t="s">
        <v>53</v>
      </c>
      <c r="Q18">
        <f>IF(AND(ISNUMBER(G18),ISNUMBER(H18),ISNUMBER(I18)), DATE(G18,H18,I18)-DATE(G18,1,1)+1, "")</f>
        <v>287</v>
      </c>
      <c r="R18" s="11">
        <f t="shared" si="1"/>
        <v>0</v>
      </c>
    </row>
    <row r="19" spans="1:18" x14ac:dyDescent="0.3">
      <c r="A19" s="4" t="s">
        <v>44</v>
      </c>
      <c r="B19" s="4" t="s">
        <v>13</v>
      </c>
      <c r="C19" s="4" t="s">
        <v>45</v>
      </c>
      <c r="E19" s="9">
        <v>20</v>
      </c>
      <c r="F19" s="6">
        <f t="shared" si="0"/>
        <v>45944</v>
      </c>
      <c r="G19" s="4">
        <v>2025</v>
      </c>
      <c r="H19" s="4">
        <v>10</v>
      </c>
      <c r="I19" s="4">
        <v>14</v>
      </c>
      <c r="J19" s="10">
        <v>1142</v>
      </c>
      <c r="K19" s="11">
        <v>0</v>
      </c>
      <c r="M19">
        <v>14.9</v>
      </c>
      <c r="N19"/>
      <c r="P19" s="4" t="s">
        <v>53</v>
      </c>
      <c r="Q19">
        <f>IF(AND(ISNUMBER(G19),ISNUMBER(H19),ISNUMBER(I19)), DATE(G19,H19,I19)-DATE(G19,1,1)+1, "")</f>
        <v>287</v>
      </c>
      <c r="R19" s="11">
        <f t="shared" si="1"/>
        <v>0</v>
      </c>
    </row>
    <row r="20" spans="1:18" x14ac:dyDescent="0.3">
      <c r="A20" s="4" t="s">
        <v>44</v>
      </c>
      <c r="B20" s="4" t="s">
        <v>13</v>
      </c>
      <c r="C20" s="9" t="s">
        <v>45</v>
      </c>
      <c r="E20" s="9">
        <v>1</v>
      </c>
      <c r="F20" s="6">
        <f t="shared" si="0"/>
        <v>45947</v>
      </c>
      <c r="G20" s="4">
        <v>2025</v>
      </c>
      <c r="H20" s="4">
        <v>10</v>
      </c>
      <c r="I20" s="4">
        <v>17</v>
      </c>
      <c r="J20" s="10">
        <v>1002</v>
      </c>
      <c r="K20" s="10">
        <f>20+150+50+150+1400+300</f>
        <v>2070</v>
      </c>
      <c r="M20">
        <v>13.7</v>
      </c>
      <c r="N20"/>
      <c r="P20" s="4" t="s">
        <v>52</v>
      </c>
      <c r="Q20">
        <f>IF(AND(ISNUMBER(G20),ISNUMBER(H20),ISNUMBER(I20)), DATE(G20,H20,I20)-DATE(G20,1,1)+1, "")</f>
        <v>290</v>
      </c>
      <c r="R20" s="11">
        <f t="shared" si="1"/>
        <v>0</v>
      </c>
    </row>
    <row r="21" spans="1:18" x14ac:dyDescent="0.3">
      <c r="A21" s="4" t="s">
        <v>44</v>
      </c>
      <c r="B21" s="4" t="s">
        <v>13</v>
      </c>
      <c r="C21" s="9" t="s">
        <v>45</v>
      </c>
      <c r="E21" s="9">
        <v>2</v>
      </c>
      <c r="F21" s="6">
        <f t="shared" si="0"/>
        <v>45947</v>
      </c>
      <c r="G21" s="4">
        <v>2025</v>
      </c>
      <c r="H21" s="4">
        <v>10</v>
      </c>
      <c r="I21" s="4">
        <v>17</v>
      </c>
      <c r="J21" s="10">
        <v>1011</v>
      </c>
      <c r="K21" s="10">
        <v>100</v>
      </c>
      <c r="M21">
        <v>13.7</v>
      </c>
      <c r="N21"/>
      <c r="P21" s="4" t="s">
        <v>52</v>
      </c>
      <c r="Q21">
        <f>IF(AND(ISNUMBER(G21),ISNUMBER(H21),ISNUMBER(I21)), DATE(G21,H21,I21)-DATE(G21,1,1)+1, "")</f>
        <v>290</v>
      </c>
      <c r="R21" s="11">
        <f t="shared" si="1"/>
        <v>0</v>
      </c>
    </row>
    <row r="22" spans="1:18" x14ac:dyDescent="0.3">
      <c r="A22" s="4" t="s">
        <v>44</v>
      </c>
      <c r="B22" s="4" t="s">
        <v>13</v>
      </c>
      <c r="C22" s="9" t="s">
        <v>45</v>
      </c>
      <c r="E22" s="9">
        <v>3</v>
      </c>
      <c r="F22" s="6">
        <f t="shared" si="0"/>
        <v>45947</v>
      </c>
      <c r="G22" s="4">
        <v>2025</v>
      </c>
      <c r="H22" s="4">
        <v>10</v>
      </c>
      <c r="I22" s="4">
        <v>17</v>
      </c>
      <c r="J22" s="10">
        <v>1029</v>
      </c>
      <c r="K22" s="10">
        <v>800</v>
      </c>
      <c r="M22">
        <v>13.7</v>
      </c>
      <c r="N22"/>
      <c r="P22" s="4" t="s">
        <v>52</v>
      </c>
      <c r="Q22">
        <f>IF(AND(ISNUMBER(G22),ISNUMBER(H22),ISNUMBER(I22)), DATE(G22,H22,I22)-DATE(G22,1,1)+1, "")</f>
        <v>290</v>
      </c>
      <c r="R22" s="11">
        <f t="shared" si="1"/>
        <v>0</v>
      </c>
    </row>
    <row r="23" spans="1:18" x14ac:dyDescent="0.3">
      <c r="A23" s="4" t="s">
        <v>44</v>
      </c>
      <c r="B23" s="4" t="s">
        <v>13</v>
      </c>
      <c r="C23" s="9" t="s">
        <v>45</v>
      </c>
      <c r="E23" s="9">
        <v>5</v>
      </c>
      <c r="F23" s="6">
        <f t="shared" si="0"/>
        <v>45947</v>
      </c>
      <c r="G23" s="4">
        <v>2025</v>
      </c>
      <c r="H23" s="4">
        <v>10</v>
      </c>
      <c r="I23" s="4">
        <v>17</v>
      </c>
      <c r="J23" s="10">
        <v>1022</v>
      </c>
      <c r="K23" s="10">
        <f>350+300+250+100</f>
        <v>1000</v>
      </c>
      <c r="M23">
        <v>13.7</v>
      </c>
      <c r="N23"/>
      <c r="P23" s="4" t="s">
        <v>52</v>
      </c>
      <c r="Q23">
        <f>IF(AND(ISNUMBER(G23),ISNUMBER(H23),ISNUMBER(I23)), DATE(G23,H23,I23)-DATE(G23,1,1)+1, "")</f>
        <v>290</v>
      </c>
      <c r="R23" s="11">
        <f t="shared" si="1"/>
        <v>0</v>
      </c>
    </row>
    <row r="24" spans="1:18" x14ac:dyDescent="0.3">
      <c r="A24" s="4" t="s">
        <v>44</v>
      </c>
      <c r="B24" s="4" t="s">
        <v>13</v>
      </c>
      <c r="C24" s="9" t="s">
        <v>45</v>
      </c>
      <c r="E24" s="9">
        <v>6</v>
      </c>
      <c r="F24" s="6">
        <f t="shared" si="0"/>
        <v>45947</v>
      </c>
      <c r="G24" s="4">
        <v>2025</v>
      </c>
      <c r="H24" s="4">
        <v>10</v>
      </c>
      <c r="I24" s="4">
        <v>17</v>
      </c>
      <c r="J24" s="10">
        <v>1034</v>
      </c>
      <c r="K24" s="10">
        <v>200</v>
      </c>
      <c r="M24">
        <v>13.7</v>
      </c>
      <c r="N24"/>
      <c r="P24" s="4" t="s">
        <v>52</v>
      </c>
      <c r="Q24">
        <f>IF(AND(ISNUMBER(G24),ISNUMBER(H24),ISNUMBER(I24)), DATE(G24,H24,I24)-DATE(G24,1,1)+1, "")</f>
        <v>290</v>
      </c>
      <c r="R24" s="11">
        <f t="shared" si="1"/>
        <v>0</v>
      </c>
    </row>
    <row r="25" spans="1:18" x14ac:dyDescent="0.3">
      <c r="A25" s="4" t="s">
        <v>44</v>
      </c>
      <c r="B25" s="4" t="s">
        <v>13</v>
      </c>
      <c r="C25" s="9" t="s">
        <v>45</v>
      </c>
      <c r="E25" s="9">
        <v>8</v>
      </c>
      <c r="F25" s="6">
        <f t="shared" si="0"/>
        <v>45947</v>
      </c>
      <c r="G25" s="4">
        <v>2025</v>
      </c>
      <c r="H25" s="4">
        <v>10</v>
      </c>
      <c r="I25" s="4">
        <v>17</v>
      </c>
      <c r="J25" s="10">
        <v>1041</v>
      </c>
      <c r="K25" s="10">
        <v>600</v>
      </c>
      <c r="M25">
        <v>13.7</v>
      </c>
      <c r="N25"/>
      <c r="P25" s="4" t="s">
        <v>52</v>
      </c>
      <c r="Q25">
        <f>IF(AND(ISNUMBER(G25),ISNUMBER(H25),ISNUMBER(I25)), DATE(G25,H25,I25)-DATE(G25,1,1)+1, "")</f>
        <v>290</v>
      </c>
      <c r="R25" s="11">
        <f t="shared" si="1"/>
        <v>0</v>
      </c>
    </row>
    <row r="26" spans="1:18" x14ac:dyDescent="0.3">
      <c r="A26" s="4" t="s">
        <v>44</v>
      </c>
      <c r="B26" s="4" t="s">
        <v>13</v>
      </c>
      <c r="C26" s="9" t="s">
        <v>45</v>
      </c>
      <c r="E26" s="9">
        <v>9</v>
      </c>
      <c r="F26" s="6">
        <f t="shared" si="0"/>
        <v>45947</v>
      </c>
      <c r="G26" s="4">
        <v>2025</v>
      </c>
      <c r="H26" s="4">
        <v>10</v>
      </c>
      <c r="I26" s="4">
        <v>17</v>
      </c>
      <c r="J26" s="10">
        <v>1047</v>
      </c>
      <c r="K26" s="10">
        <f>2200+250</f>
        <v>2450</v>
      </c>
      <c r="M26">
        <v>13.7</v>
      </c>
      <c r="N26"/>
      <c r="P26" s="4" t="s">
        <v>52</v>
      </c>
      <c r="Q26">
        <f>IF(AND(ISNUMBER(G26),ISNUMBER(H26),ISNUMBER(I26)), DATE(G26,H26,I26)-DATE(G26,1,1)+1, "")</f>
        <v>290</v>
      </c>
      <c r="R26" s="11">
        <f t="shared" si="1"/>
        <v>0</v>
      </c>
    </row>
    <row r="27" spans="1:18" x14ac:dyDescent="0.3">
      <c r="A27" s="4" t="s">
        <v>44</v>
      </c>
      <c r="B27" s="4" t="s">
        <v>13</v>
      </c>
      <c r="C27" s="9" t="s">
        <v>45</v>
      </c>
      <c r="E27" s="9">
        <v>10</v>
      </c>
      <c r="F27" s="6">
        <f t="shared" si="0"/>
        <v>45947</v>
      </c>
      <c r="G27" s="4">
        <v>2025</v>
      </c>
      <c r="H27" s="4">
        <v>10</v>
      </c>
      <c r="I27" s="4">
        <v>17</v>
      </c>
      <c r="J27" s="10">
        <v>1050</v>
      </c>
      <c r="K27" s="10">
        <f>900+300+550+100</f>
        <v>1850</v>
      </c>
      <c r="M27">
        <v>13.7</v>
      </c>
      <c r="N27"/>
      <c r="P27" s="4" t="s">
        <v>52</v>
      </c>
      <c r="Q27">
        <f>IF(AND(ISNUMBER(G27),ISNUMBER(H27),ISNUMBER(I27)), DATE(G27,H27,I27)-DATE(G27,1,1)+1, "")</f>
        <v>290</v>
      </c>
      <c r="R27" s="11">
        <f t="shared" si="1"/>
        <v>0</v>
      </c>
    </row>
    <row r="28" spans="1:18" x14ac:dyDescent="0.3">
      <c r="A28" s="4" t="s">
        <v>44</v>
      </c>
      <c r="B28" s="4" t="s">
        <v>13</v>
      </c>
      <c r="C28" s="9" t="s">
        <v>45</v>
      </c>
      <c r="E28" s="9">
        <v>12</v>
      </c>
      <c r="F28" s="6">
        <f t="shared" si="0"/>
        <v>45947</v>
      </c>
      <c r="G28" s="4">
        <v>2025</v>
      </c>
      <c r="H28" s="4">
        <v>10</v>
      </c>
      <c r="I28" s="4">
        <v>17</v>
      </c>
      <c r="J28" s="10">
        <v>1107</v>
      </c>
      <c r="K28" s="10">
        <f>350+700</f>
        <v>1050</v>
      </c>
      <c r="M28">
        <v>13.7</v>
      </c>
      <c r="N28"/>
      <c r="P28" s="4" t="s">
        <v>52</v>
      </c>
      <c r="Q28">
        <f>IF(AND(ISNUMBER(G28),ISNUMBER(H28),ISNUMBER(I28)), DATE(G28,H28,I28)-DATE(G28,1,1)+1, "")</f>
        <v>290</v>
      </c>
      <c r="R28" s="11">
        <f t="shared" si="1"/>
        <v>0</v>
      </c>
    </row>
    <row r="29" spans="1:18" x14ac:dyDescent="0.3">
      <c r="A29" s="4" t="s">
        <v>44</v>
      </c>
      <c r="B29" s="4" t="s">
        <v>13</v>
      </c>
      <c r="C29" s="9" t="s">
        <v>45</v>
      </c>
      <c r="E29" s="9">
        <v>13</v>
      </c>
      <c r="F29" s="6">
        <f t="shared" si="0"/>
        <v>45947</v>
      </c>
      <c r="G29" s="4">
        <v>2025</v>
      </c>
      <c r="H29" s="4">
        <v>10</v>
      </c>
      <c r="I29" s="4">
        <v>17</v>
      </c>
      <c r="J29" s="10">
        <v>1115</v>
      </c>
      <c r="K29" s="10">
        <f>700+500+400+700+1400+400</f>
        <v>4100</v>
      </c>
      <c r="M29">
        <v>13.7</v>
      </c>
      <c r="N29"/>
      <c r="P29" s="4" t="s">
        <v>52</v>
      </c>
      <c r="Q29">
        <f>IF(AND(ISNUMBER(G29),ISNUMBER(H29),ISNUMBER(I29)), DATE(G29,H29,I29)-DATE(G29,1,1)+1, "")</f>
        <v>290</v>
      </c>
      <c r="R29" s="11">
        <f t="shared" si="1"/>
        <v>0</v>
      </c>
    </row>
    <row r="30" spans="1:18" x14ac:dyDescent="0.3">
      <c r="A30" s="4" t="s">
        <v>44</v>
      </c>
      <c r="B30" s="4" t="s">
        <v>13</v>
      </c>
      <c r="C30" s="9" t="s">
        <v>45</v>
      </c>
      <c r="E30" s="9">
        <v>14</v>
      </c>
      <c r="F30" s="6">
        <f t="shared" si="0"/>
        <v>45947</v>
      </c>
      <c r="G30" s="4">
        <v>2025</v>
      </c>
      <c r="H30" s="4">
        <v>10</v>
      </c>
      <c r="I30" s="4">
        <v>17</v>
      </c>
      <c r="J30" s="10">
        <v>1119</v>
      </c>
      <c r="K30" s="10">
        <v>1350</v>
      </c>
      <c r="M30">
        <v>13.7</v>
      </c>
      <c r="N30"/>
      <c r="P30" s="4" t="s">
        <v>52</v>
      </c>
      <c r="Q30">
        <f>IF(AND(ISNUMBER(G30),ISNUMBER(H30),ISNUMBER(I30)), DATE(G30,H30,I30)-DATE(G30,1,1)+1, "")</f>
        <v>290</v>
      </c>
      <c r="R30" s="11">
        <f t="shared" si="1"/>
        <v>0</v>
      </c>
    </row>
    <row r="31" spans="1:18" x14ac:dyDescent="0.3">
      <c r="A31" s="4" t="s">
        <v>44</v>
      </c>
      <c r="B31" s="4" t="s">
        <v>13</v>
      </c>
      <c r="C31" s="9" t="s">
        <v>45</v>
      </c>
      <c r="E31" s="9">
        <v>15</v>
      </c>
      <c r="F31" s="6">
        <f t="shared" si="0"/>
        <v>45947</v>
      </c>
      <c r="G31" s="4">
        <v>2025</v>
      </c>
      <c r="H31" s="4">
        <v>10</v>
      </c>
      <c r="I31" s="4">
        <v>17</v>
      </c>
      <c r="J31" s="10">
        <v>1121</v>
      </c>
      <c r="K31" s="10">
        <f>3700+1900</f>
        <v>5600</v>
      </c>
      <c r="M31">
        <v>13.7</v>
      </c>
      <c r="N31"/>
      <c r="P31" s="4" t="s">
        <v>52</v>
      </c>
      <c r="Q31">
        <f>IF(AND(ISNUMBER(G31),ISNUMBER(H31),ISNUMBER(I31)), DATE(G31,H31,I31)-DATE(G31,1,1)+1, "")</f>
        <v>290</v>
      </c>
      <c r="R31" s="11">
        <f t="shared" si="1"/>
        <v>0</v>
      </c>
    </row>
    <row r="32" spans="1:18" x14ac:dyDescent="0.3">
      <c r="A32" s="4" t="s">
        <v>44</v>
      </c>
      <c r="B32" s="4" t="s">
        <v>13</v>
      </c>
      <c r="C32" s="9" t="s">
        <v>45</v>
      </c>
      <c r="E32" s="9">
        <v>16</v>
      </c>
      <c r="F32" s="6">
        <f t="shared" si="0"/>
        <v>45947</v>
      </c>
      <c r="G32" s="4">
        <v>2025</v>
      </c>
      <c r="H32" s="4">
        <v>10</v>
      </c>
      <c r="I32" s="4">
        <v>17</v>
      </c>
      <c r="J32" s="10">
        <v>1125</v>
      </c>
      <c r="K32" s="10">
        <f>150+950+1300+100+450+200</f>
        <v>3150</v>
      </c>
      <c r="M32">
        <v>13.7</v>
      </c>
      <c r="N32"/>
      <c r="P32" s="4" t="s">
        <v>52</v>
      </c>
      <c r="Q32">
        <f>IF(AND(ISNUMBER(G32),ISNUMBER(H32),ISNUMBER(I32)), DATE(G32,H32,I32)-DATE(G32,1,1)+1, "")</f>
        <v>290</v>
      </c>
      <c r="R32" s="11">
        <f t="shared" si="1"/>
        <v>0</v>
      </c>
    </row>
    <row r="33" spans="1:18" x14ac:dyDescent="0.3">
      <c r="A33" s="4" t="s">
        <v>44</v>
      </c>
      <c r="B33" s="4" t="s">
        <v>13</v>
      </c>
      <c r="C33" s="9" t="s">
        <v>45</v>
      </c>
      <c r="E33" s="9">
        <v>17</v>
      </c>
      <c r="F33" s="6">
        <f t="shared" si="0"/>
        <v>45947</v>
      </c>
      <c r="G33" s="4">
        <v>2025</v>
      </c>
      <c r="H33" s="4">
        <v>10</v>
      </c>
      <c r="I33" s="4">
        <v>17</v>
      </c>
      <c r="J33" s="10">
        <v>1129</v>
      </c>
      <c r="K33" s="10">
        <f>1200+2500+200</f>
        <v>3900</v>
      </c>
      <c r="M33">
        <v>13.7</v>
      </c>
      <c r="N33"/>
      <c r="P33" s="4" t="s">
        <v>52</v>
      </c>
      <c r="Q33">
        <f>IF(AND(ISNUMBER(G33),ISNUMBER(H33),ISNUMBER(I33)), DATE(G33,H33,I33)-DATE(G33,1,1)+1, "")</f>
        <v>290</v>
      </c>
      <c r="R33" s="11">
        <f t="shared" si="1"/>
        <v>0</v>
      </c>
    </row>
    <row r="34" spans="1:18" x14ac:dyDescent="0.3">
      <c r="A34" s="4" t="s">
        <v>44</v>
      </c>
      <c r="B34" s="4" t="s">
        <v>13</v>
      </c>
      <c r="C34" s="9" t="s">
        <v>45</v>
      </c>
      <c r="E34" s="9">
        <v>18</v>
      </c>
      <c r="F34" s="6">
        <f t="shared" si="0"/>
        <v>45947</v>
      </c>
      <c r="G34" s="4">
        <v>2025</v>
      </c>
      <c r="H34" s="4">
        <v>10</v>
      </c>
      <c r="I34" s="4">
        <v>17</v>
      </c>
      <c r="J34" s="10">
        <v>1136</v>
      </c>
      <c r="K34" s="10">
        <f>900+500+100+20</f>
        <v>1520</v>
      </c>
      <c r="M34">
        <v>13.7</v>
      </c>
      <c r="N34"/>
      <c r="P34" s="4" t="s">
        <v>52</v>
      </c>
      <c r="Q34">
        <f>IF(AND(ISNUMBER(G34),ISNUMBER(H34),ISNUMBER(I34)), DATE(G34,H34,I34)-DATE(G34,1,1)+1, "")</f>
        <v>290</v>
      </c>
      <c r="R34" s="11">
        <f t="shared" si="1"/>
        <v>0</v>
      </c>
    </row>
    <row r="35" spans="1:18" x14ac:dyDescent="0.3">
      <c r="A35" s="4" t="s">
        <v>44</v>
      </c>
      <c r="B35" s="4" t="s">
        <v>13</v>
      </c>
      <c r="C35" s="9" t="s">
        <v>45</v>
      </c>
      <c r="E35" s="9">
        <v>20</v>
      </c>
      <c r="F35" s="6">
        <f t="shared" si="0"/>
        <v>45947</v>
      </c>
      <c r="G35" s="4">
        <v>2025</v>
      </c>
      <c r="H35" s="4">
        <v>10</v>
      </c>
      <c r="I35" s="4">
        <v>17</v>
      </c>
      <c r="J35" s="10">
        <v>1150</v>
      </c>
      <c r="K35" s="10">
        <v>100</v>
      </c>
      <c r="M35">
        <v>13.7</v>
      </c>
      <c r="N35"/>
      <c r="P35" s="4" t="s">
        <v>52</v>
      </c>
      <c r="Q35">
        <f>IF(AND(ISNUMBER(G35),ISNUMBER(H35),ISNUMBER(I35)), DATE(G35,H35,I35)-DATE(G35,1,1)+1, "")</f>
        <v>290</v>
      </c>
      <c r="R35" s="11">
        <f t="shared" si="1"/>
        <v>0</v>
      </c>
    </row>
    <row r="36" spans="1:18" x14ac:dyDescent="0.3">
      <c r="A36" s="4" t="s">
        <v>44</v>
      </c>
      <c r="B36" s="4" t="s">
        <v>13</v>
      </c>
      <c r="C36" s="9" t="s">
        <v>45</v>
      </c>
      <c r="E36" s="9">
        <v>1</v>
      </c>
      <c r="F36" s="6">
        <f t="shared" si="0"/>
        <v>45953</v>
      </c>
      <c r="G36" s="4">
        <v>2025</v>
      </c>
      <c r="H36" s="4">
        <v>10</v>
      </c>
      <c r="I36" s="4">
        <v>23</v>
      </c>
      <c r="J36" s="10">
        <v>937</v>
      </c>
      <c r="K36" s="10">
        <v>700</v>
      </c>
      <c r="M36">
        <v>12.9</v>
      </c>
      <c r="N36"/>
      <c r="P36" s="4" t="s">
        <v>53</v>
      </c>
      <c r="Q36">
        <f>IF(AND(ISNUMBER(G36),ISNUMBER(H36),ISNUMBER(I36)), DATE(G36,H36,I36)-DATE(G36,1,1)+1, "")</f>
        <v>296</v>
      </c>
      <c r="R36" s="11">
        <f t="shared" si="1"/>
        <v>0</v>
      </c>
    </row>
    <row r="37" spans="1:18" x14ac:dyDescent="0.3">
      <c r="A37" s="4" t="s">
        <v>44</v>
      </c>
      <c r="B37" s="4" t="s">
        <v>13</v>
      </c>
      <c r="C37" s="9" t="s">
        <v>45</v>
      </c>
      <c r="E37" s="9">
        <v>4</v>
      </c>
      <c r="F37" s="6">
        <f t="shared" si="0"/>
        <v>45953</v>
      </c>
      <c r="G37" s="4">
        <v>2025</v>
      </c>
      <c r="H37" s="4">
        <v>10</v>
      </c>
      <c r="I37" s="4">
        <v>23</v>
      </c>
      <c r="J37" s="10">
        <v>1009</v>
      </c>
      <c r="K37" s="10">
        <v>450</v>
      </c>
      <c r="M37">
        <v>12.9</v>
      </c>
      <c r="N37"/>
      <c r="P37" s="4" t="s">
        <v>53</v>
      </c>
      <c r="Q37">
        <f>IF(AND(ISNUMBER(G37),ISNUMBER(H37),ISNUMBER(I37)), DATE(G37,H37,I37)-DATE(G37,1,1)+1, "")</f>
        <v>296</v>
      </c>
      <c r="R37" s="11">
        <f t="shared" si="1"/>
        <v>0</v>
      </c>
    </row>
    <row r="38" spans="1:18" x14ac:dyDescent="0.3">
      <c r="A38" s="4" t="s">
        <v>44</v>
      </c>
      <c r="B38" s="4" t="s">
        <v>13</v>
      </c>
      <c r="C38" s="9" t="s">
        <v>45</v>
      </c>
      <c r="E38" s="9">
        <v>5</v>
      </c>
      <c r="F38" s="6">
        <f t="shared" si="0"/>
        <v>45953</v>
      </c>
      <c r="G38" s="4">
        <v>2025</v>
      </c>
      <c r="H38" s="4">
        <v>10</v>
      </c>
      <c r="I38" s="4">
        <v>23</v>
      </c>
      <c r="J38" s="10">
        <v>1011</v>
      </c>
      <c r="K38" s="10">
        <v>900</v>
      </c>
      <c r="M38">
        <v>12.9</v>
      </c>
      <c r="N38"/>
      <c r="P38" s="4" t="s">
        <v>53</v>
      </c>
      <c r="Q38">
        <f>IF(AND(ISNUMBER(G38),ISNUMBER(H38),ISNUMBER(I38)), DATE(G38,H38,I38)-DATE(G38,1,1)+1, "")</f>
        <v>296</v>
      </c>
      <c r="R38" s="11">
        <f t="shared" si="1"/>
        <v>0</v>
      </c>
    </row>
    <row r="39" spans="1:18" x14ac:dyDescent="0.3">
      <c r="A39" s="4" t="s">
        <v>44</v>
      </c>
      <c r="B39" s="4" t="s">
        <v>13</v>
      </c>
      <c r="C39" s="9" t="s">
        <v>45</v>
      </c>
      <c r="E39" s="9">
        <v>6</v>
      </c>
      <c r="F39" s="6">
        <f t="shared" si="0"/>
        <v>45953</v>
      </c>
      <c r="G39" s="4">
        <v>2025</v>
      </c>
      <c r="H39" s="4">
        <v>10</v>
      </c>
      <c r="I39" s="4">
        <v>23</v>
      </c>
      <c r="J39" s="10">
        <v>1016</v>
      </c>
      <c r="K39" s="10">
        <v>250</v>
      </c>
      <c r="M39">
        <v>12.9</v>
      </c>
      <c r="N39"/>
      <c r="P39" s="4" t="s">
        <v>53</v>
      </c>
      <c r="Q39">
        <f>IF(AND(ISNUMBER(G39),ISNUMBER(H39),ISNUMBER(I39)), DATE(G39,H39,I39)-DATE(G39,1,1)+1, "")</f>
        <v>296</v>
      </c>
      <c r="R39" s="11">
        <f t="shared" si="1"/>
        <v>0</v>
      </c>
    </row>
    <row r="40" spans="1:18" x14ac:dyDescent="0.3">
      <c r="A40" s="4" t="s">
        <v>44</v>
      </c>
      <c r="B40" s="4" t="s">
        <v>13</v>
      </c>
      <c r="C40" s="9" t="s">
        <v>45</v>
      </c>
      <c r="E40" s="9">
        <v>8</v>
      </c>
      <c r="F40" s="6">
        <f t="shared" si="0"/>
        <v>45953</v>
      </c>
      <c r="G40" s="4">
        <v>2025</v>
      </c>
      <c r="H40" s="4">
        <v>10</v>
      </c>
      <c r="I40" s="4">
        <v>23</v>
      </c>
      <c r="J40" s="10">
        <v>1021</v>
      </c>
      <c r="K40" s="10">
        <v>150</v>
      </c>
      <c r="M40">
        <v>12.9</v>
      </c>
      <c r="N40"/>
      <c r="P40" s="4" t="s">
        <v>53</v>
      </c>
      <c r="Q40">
        <f>IF(AND(ISNUMBER(G40),ISNUMBER(H40),ISNUMBER(I40)), DATE(G40,H40,I40)-DATE(G40,1,1)+1, "")</f>
        <v>296</v>
      </c>
      <c r="R40" s="11">
        <f t="shared" si="1"/>
        <v>0</v>
      </c>
    </row>
    <row r="41" spans="1:18" x14ac:dyDescent="0.3">
      <c r="A41" s="4" t="s">
        <v>44</v>
      </c>
      <c r="B41" s="4" t="s">
        <v>13</v>
      </c>
      <c r="C41" s="9" t="s">
        <v>45</v>
      </c>
      <c r="E41" s="9">
        <v>9</v>
      </c>
      <c r="F41" s="6">
        <f t="shared" si="0"/>
        <v>45953</v>
      </c>
      <c r="G41" s="4">
        <v>2025</v>
      </c>
      <c r="H41" s="4">
        <v>10</v>
      </c>
      <c r="I41" s="4">
        <v>23</v>
      </c>
      <c r="J41" s="10">
        <v>1028</v>
      </c>
      <c r="K41" s="10">
        <v>1950</v>
      </c>
      <c r="M41">
        <v>12.9</v>
      </c>
      <c r="N41"/>
      <c r="P41" s="4" t="s">
        <v>53</v>
      </c>
      <c r="Q41">
        <f>IF(AND(ISNUMBER(G41),ISNUMBER(H41),ISNUMBER(I41)), DATE(G41,H41,I41)-DATE(G41,1,1)+1, "")</f>
        <v>296</v>
      </c>
      <c r="R41" s="11">
        <f t="shared" si="1"/>
        <v>0</v>
      </c>
    </row>
    <row r="42" spans="1:18" x14ac:dyDescent="0.3">
      <c r="A42" s="4" t="s">
        <v>44</v>
      </c>
      <c r="B42" s="4" t="s">
        <v>13</v>
      </c>
      <c r="C42" s="9" t="s">
        <v>45</v>
      </c>
      <c r="E42" s="9">
        <v>10</v>
      </c>
      <c r="F42" s="6">
        <f t="shared" si="0"/>
        <v>45953</v>
      </c>
      <c r="G42" s="4">
        <v>2025</v>
      </c>
      <c r="H42" s="4">
        <v>10</v>
      </c>
      <c r="I42" s="4">
        <v>23</v>
      </c>
      <c r="J42" s="10">
        <v>1032</v>
      </c>
      <c r="K42" s="10">
        <v>750</v>
      </c>
      <c r="M42">
        <v>12.9</v>
      </c>
      <c r="N42"/>
      <c r="P42" s="4" t="s">
        <v>53</v>
      </c>
      <c r="Q42">
        <f>IF(AND(ISNUMBER(G42),ISNUMBER(H42),ISNUMBER(I42)), DATE(G42,H42,I42)-DATE(G42,1,1)+1, "")</f>
        <v>296</v>
      </c>
      <c r="R42" s="11">
        <f t="shared" si="1"/>
        <v>0</v>
      </c>
    </row>
    <row r="43" spans="1:18" x14ac:dyDescent="0.3">
      <c r="A43" s="4" t="s">
        <v>44</v>
      </c>
      <c r="B43" s="4" t="s">
        <v>13</v>
      </c>
      <c r="C43" s="9" t="s">
        <v>45</v>
      </c>
      <c r="E43" s="9">
        <v>12</v>
      </c>
      <c r="F43" s="6">
        <f t="shared" si="0"/>
        <v>45953</v>
      </c>
      <c r="G43" s="4">
        <v>2025</v>
      </c>
      <c r="H43" s="4">
        <v>10</v>
      </c>
      <c r="I43" s="4">
        <v>23</v>
      </c>
      <c r="J43" s="10">
        <v>1057</v>
      </c>
      <c r="K43" s="10">
        <v>200</v>
      </c>
      <c r="M43">
        <v>12.9</v>
      </c>
      <c r="N43"/>
      <c r="P43" s="4" t="s">
        <v>53</v>
      </c>
      <c r="Q43">
        <f>IF(AND(ISNUMBER(G43),ISNUMBER(H43),ISNUMBER(I43)), DATE(G43,H43,I43)-DATE(G43,1,1)+1, "")</f>
        <v>296</v>
      </c>
      <c r="R43" s="11">
        <f t="shared" si="1"/>
        <v>0</v>
      </c>
    </row>
    <row r="44" spans="1:18" x14ac:dyDescent="0.3">
      <c r="A44" s="4" t="s">
        <v>44</v>
      </c>
      <c r="B44" s="4" t="s">
        <v>13</v>
      </c>
      <c r="C44" s="9" t="s">
        <v>45</v>
      </c>
      <c r="E44" s="9">
        <v>13</v>
      </c>
      <c r="F44" s="6">
        <f t="shared" si="0"/>
        <v>45953</v>
      </c>
      <c r="G44" s="4">
        <v>2025</v>
      </c>
      <c r="H44" s="4">
        <v>10</v>
      </c>
      <c r="I44" s="4">
        <v>23</v>
      </c>
      <c r="J44" s="10">
        <v>1105</v>
      </c>
      <c r="K44" s="10">
        <f>250+800+250+550</f>
        <v>1850</v>
      </c>
      <c r="M44">
        <v>12.9</v>
      </c>
      <c r="N44"/>
      <c r="P44" s="4" t="s">
        <v>53</v>
      </c>
      <c r="Q44">
        <f>IF(AND(ISNUMBER(G44),ISNUMBER(H44),ISNUMBER(I44)), DATE(G44,H44,I44)-DATE(G44,1,1)+1, "")</f>
        <v>296</v>
      </c>
      <c r="R44" s="11">
        <f t="shared" si="1"/>
        <v>0</v>
      </c>
    </row>
    <row r="45" spans="1:18" x14ac:dyDescent="0.3">
      <c r="A45" s="4" t="s">
        <v>44</v>
      </c>
      <c r="B45" s="4" t="s">
        <v>13</v>
      </c>
      <c r="C45" s="9" t="s">
        <v>45</v>
      </c>
      <c r="E45" s="9">
        <v>14</v>
      </c>
      <c r="F45" s="6">
        <f t="shared" si="0"/>
        <v>45953</v>
      </c>
      <c r="G45" s="4">
        <v>2025</v>
      </c>
      <c r="H45" s="4">
        <v>10</v>
      </c>
      <c r="I45" s="4">
        <v>23</v>
      </c>
      <c r="J45" s="10">
        <v>1108</v>
      </c>
      <c r="K45" s="10">
        <f>1600+600</f>
        <v>2200</v>
      </c>
      <c r="M45">
        <v>12.9</v>
      </c>
      <c r="N45"/>
      <c r="P45" s="4" t="s">
        <v>53</v>
      </c>
      <c r="Q45">
        <f>IF(AND(ISNUMBER(G45),ISNUMBER(H45),ISNUMBER(I45)), DATE(G45,H45,I45)-DATE(G45,1,1)+1, "")</f>
        <v>296</v>
      </c>
      <c r="R45" s="11">
        <f t="shared" si="1"/>
        <v>0</v>
      </c>
    </row>
    <row r="46" spans="1:18" x14ac:dyDescent="0.3">
      <c r="A46" s="4" t="s">
        <v>44</v>
      </c>
      <c r="B46" s="4" t="s">
        <v>13</v>
      </c>
      <c r="C46" s="9" t="s">
        <v>45</v>
      </c>
      <c r="E46" s="9">
        <v>15</v>
      </c>
      <c r="F46" s="6">
        <f t="shared" si="0"/>
        <v>45953</v>
      </c>
      <c r="G46" s="4">
        <v>2025</v>
      </c>
      <c r="H46" s="4">
        <v>10</v>
      </c>
      <c r="I46" s="4">
        <v>23</v>
      </c>
      <c r="J46" s="10">
        <v>1114</v>
      </c>
      <c r="K46" s="10">
        <v>600</v>
      </c>
      <c r="M46">
        <v>12.9</v>
      </c>
      <c r="N46"/>
      <c r="P46" s="4" t="s">
        <v>53</v>
      </c>
      <c r="Q46">
        <f>IF(AND(ISNUMBER(G46),ISNUMBER(H46),ISNUMBER(I46)), DATE(G46,H46,I46)-DATE(G46,1,1)+1, "")</f>
        <v>296</v>
      </c>
      <c r="R46" s="11">
        <f t="shared" si="1"/>
        <v>0</v>
      </c>
    </row>
    <row r="47" spans="1:18" x14ac:dyDescent="0.3">
      <c r="A47" s="4" t="s">
        <v>44</v>
      </c>
      <c r="B47" s="4" t="s">
        <v>13</v>
      </c>
      <c r="C47" s="9" t="s">
        <v>45</v>
      </c>
      <c r="E47" s="9">
        <v>16</v>
      </c>
      <c r="F47" s="6">
        <f t="shared" si="0"/>
        <v>45953</v>
      </c>
      <c r="G47" s="4">
        <v>2025</v>
      </c>
      <c r="H47" s="4">
        <v>10</v>
      </c>
      <c r="I47" s="4">
        <v>23</v>
      </c>
      <c r="J47" s="10">
        <v>1117</v>
      </c>
      <c r="K47" s="10">
        <f>250+300+600+50+250+50</f>
        <v>1500</v>
      </c>
      <c r="M47">
        <v>12.9</v>
      </c>
      <c r="N47"/>
      <c r="P47" s="4" t="s">
        <v>53</v>
      </c>
      <c r="Q47">
        <f>IF(AND(ISNUMBER(G47),ISNUMBER(H47),ISNUMBER(I47)), DATE(G47,H47,I47)-DATE(G47,1,1)+1, "")</f>
        <v>296</v>
      </c>
      <c r="R47" s="11">
        <f t="shared" si="1"/>
        <v>0</v>
      </c>
    </row>
    <row r="48" spans="1:18" x14ac:dyDescent="0.3">
      <c r="A48" s="4" t="s">
        <v>44</v>
      </c>
      <c r="B48" s="4" t="s">
        <v>13</v>
      </c>
      <c r="C48" s="9" t="s">
        <v>45</v>
      </c>
      <c r="E48" s="9">
        <v>17</v>
      </c>
      <c r="F48" s="6">
        <f t="shared" si="0"/>
        <v>45953</v>
      </c>
      <c r="G48" s="4">
        <v>2025</v>
      </c>
      <c r="H48" s="4">
        <v>10</v>
      </c>
      <c r="I48" s="4">
        <v>23</v>
      </c>
      <c r="J48" s="10">
        <v>1122</v>
      </c>
      <c r="K48" s="10">
        <f>400+700</f>
        <v>1100</v>
      </c>
      <c r="M48">
        <v>12.9</v>
      </c>
      <c r="N48"/>
      <c r="P48" s="4" t="s">
        <v>53</v>
      </c>
      <c r="Q48">
        <f>IF(AND(ISNUMBER(G48),ISNUMBER(H48),ISNUMBER(I48)), DATE(G48,H48,I48)-DATE(G48,1,1)+1, "")</f>
        <v>296</v>
      </c>
      <c r="R48" s="11">
        <f t="shared" si="1"/>
        <v>0</v>
      </c>
    </row>
    <row r="49" spans="1:18" x14ac:dyDescent="0.3">
      <c r="A49" s="4" t="s">
        <v>44</v>
      </c>
      <c r="B49" s="4" t="s">
        <v>13</v>
      </c>
      <c r="C49" s="9" t="s">
        <v>45</v>
      </c>
      <c r="E49" s="9">
        <v>18</v>
      </c>
      <c r="F49" s="6">
        <f t="shared" si="0"/>
        <v>45953</v>
      </c>
      <c r="G49" s="4">
        <v>2025</v>
      </c>
      <c r="H49" s="4">
        <v>10</v>
      </c>
      <c r="I49" s="4">
        <v>23</v>
      </c>
      <c r="J49" s="10">
        <v>1124</v>
      </c>
      <c r="K49" s="10">
        <v>750</v>
      </c>
      <c r="M49">
        <v>12.9</v>
      </c>
      <c r="N49"/>
      <c r="P49" s="4" t="s">
        <v>53</v>
      </c>
      <c r="Q49">
        <f>IF(AND(ISNUMBER(G49),ISNUMBER(H49),ISNUMBER(I49)), DATE(G49,H49,I49)-DATE(G49,1,1)+1, "")</f>
        <v>296</v>
      </c>
      <c r="R49" s="11">
        <f t="shared" si="1"/>
        <v>0</v>
      </c>
    </row>
    <row r="50" spans="1:18" x14ac:dyDescent="0.3">
      <c r="A50" s="4" t="s">
        <v>44</v>
      </c>
      <c r="B50" s="4" t="s">
        <v>13</v>
      </c>
      <c r="C50" s="9" t="s">
        <v>43</v>
      </c>
      <c r="E50" s="9">
        <v>24</v>
      </c>
      <c r="F50" s="6">
        <f t="shared" si="0"/>
        <v>45945</v>
      </c>
      <c r="G50" s="4">
        <v>2025</v>
      </c>
      <c r="H50" s="4">
        <v>10</v>
      </c>
      <c r="I50" s="4">
        <v>15</v>
      </c>
      <c r="J50" s="10">
        <v>942</v>
      </c>
      <c r="K50" s="10">
        <v>2800</v>
      </c>
      <c r="M50">
        <v>14.7</v>
      </c>
      <c r="N50"/>
      <c r="P50" s="4" t="s">
        <v>51</v>
      </c>
      <c r="Q50">
        <f>IF(AND(ISNUMBER(G50),ISNUMBER(H50),ISNUMBER(I50)), DATE(G50,H50,I50)-DATE(G50,1,1)+1, "")</f>
        <v>288</v>
      </c>
      <c r="R50" s="11">
        <f t="shared" si="1"/>
        <v>0</v>
      </c>
    </row>
    <row r="51" spans="1:18" x14ac:dyDescent="0.3">
      <c r="A51" s="4" t="s">
        <v>44</v>
      </c>
      <c r="B51" s="4" t="s">
        <v>13</v>
      </c>
      <c r="C51" s="9" t="s">
        <v>43</v>
      </c>
      <c r="E51" s="9">
        <v>25</v>
      </c>
      <c r="F51" s="6">
        <f t="shared" si="0"/>
        <v>45945</v>
      </c>
      <c r="G51" s="4">
        <v>2025</v>
      </c>
      <c r="H51" s="4">
        <v>10</v>
      </c>
      <c r="I51" s="4">
        <v>15</v>
      </c>
      <c r="J51" s="10">
        <v>949</v>
      </c>
      <c r="K51" s="10">
        <f>650+100+150</f>
        <v>900</v>
      </c>
      <c r="M51">
        <v>14.7</v>
      </c>
      <c r="N51"/>
      <c r="P51" s="4" t="s">
        <v>51</v>
      </c>
      <c r="Q51">
        <f>IF(AND(ISNUMBER(G51),ISNUMBER(H51),ISNUMBER(I51)), DATE(G51,H51,I51)-DATE(G51,1,1)+1, "")</f>
        <v>288</v>
      </c>
      <c r="R51" s="11">
        <f t="shared" si="1"/>
        <v>0</v>
      </c>
    </row>
    <row r="52" spans="1:18" x14ac:dyDescent="0.3">
      <c r="A52" s="4" t="s">
        <v>44</v>
      </c>
      <c r="B52" s="4" t="s">
        <v>13</v>
      </c>
      <c r="C52" s="9" t="s">
        <v>43</v>
      </c>
      <c r="E52" s="9">
        <v>26</v>
      </c>
      <c r="F52" s="6">
        <f t="shared" si="0"/>
        <v>45945</v>
      </c>
      <c r="G52" s="4">
        <v>2025</v>
      </c>
      <c r="H52" s="4">
        <v>10</v>
      </c>
      <c r="I52" s="4">
        <v>15</v>
      </c>
      <c r="J52" s="10">
        <v>955</v>
      </c>
      <c r="K52" s="10">
        <v>70</v>
      </c>
      <c r="M52">
        <v>14.7</v>
      </c>
      <c r="N52"/>
      <c r="P52" s="4" t="s">
        <v>51</v>
      </c>
      <c r="Q52">
        <f>IF(AND(ISNUMBER(G52),ISNUMBER(H52),ISNUMBER(I52)), DATE(G52,H52,I52)-DATE(G52,1,1)+1, "")</f>
        <v>288</v>
      </c>
      <c r="R52" s="11">
        <f t="shared" si="1"/>
        <v>0</v>
      </c>
    </row>
    <row r="53" spans="1:18" x14ac:dyDescent="0.3">
      <c r="A53" s="4" t="s">
        <v>44</v>
      </c>
      <c r="B53" s="4" t="s">
        <v>13</v>
      </c>
      <c r="C53" s="9" t="s">
        <v>43</v>
      </c>
      <c r="E53" s="9">
        <v>27</v>
      </c>
      <c r="F53" s="6">
        <f t="shared" si="0"/>
        <v>45945</v>
      </c>
      <c r="G53" s="4">
        <v>2025</v>
      </c>
      <c r="H53" s="4">
        <v>10</v>
      </c>
      <c r="I53" s="4">
        <v>15</v>
      </c>
      <c r="J53" s="10">
        <v>959</v>
      </c>
      <c r="K53" s="10">
        <v>450</v>
      </c>
      <c r="M53">
        <v>14.7</v>
      </c>
      <c r="N53"/>
      <c r="P53" s="4" t="s">
        <v>51</v>
      </c>
      <c r="Q53">
        <f>IF(AND(ISNUMBER(G53),ISNUMBER(H53),ISNUMBER(I53)), DATE(G53,H53,I53)-DATE(G53,1,1)+1, "")</f>
        <v>288</v>
      </c>
      <c r="R53" s="11">
        <f t="shared" si="1"/>
        <v>0</v>
      </c>
    </row>
    <row r="54" spans="1:18" x14ac:dyDescent="0.3">
      <c r="A54" s="4" t="s">
        <v>44</v>
      </c>
      <c r="B54" s="4" t="s">
        <v>13</v>
      </c>
      <c r="C54" s="9" t="s">
        <v>43</v>
      </c>
      <c r="E54" s="9">
        <v>28</v>
      </c>
      <c r="F54" s="6">
        <f t="shared" si="0"/>
        <v>45945</v>
      </c>
      <c r="G54" s="4">
        <v>2025</v>
      </c>
      <c r="H54" s="4">
        <v>10</v>
      </c>
      <c r="I54" s="4">
        <v>15</v>
      </c>
      <c r="J54" s="10">
        <v>1004</v>
      </c>
      <c r="K54" s="10">
        <v>100</v>
      </c>
      <c r="M54">
        <v>14.7</v>
      </c>
      <c r="N54"/>
      <c r="P54" s="4" t="s">
        <v>51</v>
      </c>
      <c r="Q54">
        <f>IF(AND(ISNUMBER(G54),ISNUMBER(H54),ISNUMBER(I54)), DATE(G54,H54,I54)-DATE(G54,1,1)+1, "")</f>
        <v>288</v>
      </c>
      <c r="R54" s="11">
        <f t="shared" si="1"/>
        <v>0</v>
      </c>
    </row>
    <row r="55" spans="1:18" x14ac:dyDescent="0.3">
      <c r="A55" s="4" t="s">
        <v>44</v>
      </c>
      <c r="B55" s="4" t="s">
        <v>13</v>
      </c>
      <c r="C55" s="9" t="s">
        <v>43</v>
      </c>
      <c r="E55" s="9">
        <v>29</v>
      </c>
      <c r="F55" s="6">
        <f t="shared" si="0"/>
        <v>45945</v>
      </c>
      <c r="G55" s="4">
        <v>2025</v>
      </c>
      <c r="H55" s="4">
        <v>10</v>
      </c>
      <c r="I55" s="4">
        <v>15</v>
      </c>
      <c r="J55" s="10">
        <v>1009</v>
      </c>
      <c r="K55" s="10">
        <v>1600</v>
      </c>
      <c r="M55">
        <v>14.7</v>
      </c>
      <c r="N55"/>
      <c r="P55" s="4" t="s">
        <v>51</v>
      </c>
      <c r="Q55">
        <f>IF(AND(ISNUMBER(G55),ISNUMBER(H55),ISNUMBER(I55)), DATE(G55,H55,I55)-DATE(G55,1,1)+1, "")</f>
        <v>288</v>
      </c>
      <c r="R55" s="11">
        <f t="shared" si="1"/>
        <v>0</v>
      </c>
    </row>
    <row r="56" spans="1:18" x14ac:dyDescent="0.3">
      <c r="A56" s="4" t="s">
        <v>44</v>
      </c>
      <c r="B56" s="4" t="s">
        <v>13</v>
      </c>
      <c r="C56" s="9" t="s">
        <v>43</v>
      </c>
      <c r="E56" s="9">
        <v>30</v>
      </c>
      <c r="F56" s="6">
        <f t="shared" si="0"/>
        <v>45945</v>
      </c>
      <c r="G56" s="4">
        <v>2025</v>
      </c>
      <c r="H56" s="4">
        <v>10</v>
      </c>
      <c r="I56" s="4">
        <v>15</v>
      </c>
      <c r="J56" s="10">
        <v>1014</v>
      </c>
      <c r="K56" s="10">
        <v>250</v>
      </c>
      <c r="M56">
        <v>14.7</v>
      </c>
      <c r="N56"/>
      <c r="P56" s="4" t="s">
        <v>51</v>
      </c>
      <c r="Q56">
        <f>IF(AND(ISNUMBER(G56),ISNUMBER(H56),ISNUMBER(I56)), DATE(G56,H56,I56)-DATE(G56,1,1)+1, "")</f>
        <v>288</v>
      </c>
      <c r="R56" s="11">
        <f t="shared" si="1"/>
        <v>0</v>
      </c>
    </row>
    <row r="57" spans="1:18" x14ac:dyDescent="0.3">
      <c r="A57" s="4" t="s">
        <v>44</v>
      </c>
      <c r="B57" s="4" t="s">
        <v>13</v>
      </c>
      <c r="C57" s="9" t="s">
        <v>43</v>
      </c>
      <c r="E57" s="9">
        <v>31</v>
      </c>
      <c r="F57" s="6">
        <f t="shared" si="0"/>
        <v>45945</v>
      </c>
      <c r="G57" s="4">
        <v>2025</v>
      </c>
      <c r="H57" s="4">
        <v>10</v>
      </c>
      <c r="I57" s="4">
        <v>15</v>
      </c>
      <c r="J57" s="10"/>
      <c r="K57" s="10">
        <f>350+400+400+200+50</f>
        <v>1400</v>
      </c>
      <c r="M57">
        <v>14.7</v>
      </c>
      <c r="N57"/>
      <c r="P57" s="4" t="s">
        <v>51</v>
      </c>
      <c r="Q57">
        <f>IF(AND(ISNUMBER(G57),ISNUMBER(H57),ISNUMBER(I57)), DATE(G57,H57,I57)-DATE(G57,1,1)+1, "")</f>
        <v>288</v>
      </c>
      <c r="R57" s="11"/>
    </row>
    <row r="58" spans="1:18" x14ac:dyDescent="0.3">
      <c r="A58" s="4" t="s">
        <v>44</v>
      </c>
      <c r="B58" s="4" t="s">
        <v>13</v>
      </c>
      <c r="C58" s="9" t="s">
        <v>43</v>
      </c>
      <c r="E58" s="9">
        <v>32</v>
      </c>
      <c r="F58" s="6">
        <f t="shared" si="0"/>
        <v>45945</v>
      </c>
      <c r="G58" s="4">
        <v>2025</v>
      </c>
      <c r="H58" s="4">
        <v>10</v>
      </c>
      <c r="I58" s="4">
        <v>15</v>
      </c>
      <c r="J58" s="10">
        <v>1033</v>
      </c>
      <c r="K58" s="10">
        <f>200+4500+2050+400+50+50+300+100</f>
        <v>7650</v>
      </c>
      <c r="M58">
        <v>14.7</v>
      </c>
      <c r="N58"/>
      <c r="P58" s="4" t="s">
        <v>51</v>
      </c>
      <c r="Q58">
        <f>IF(AND(ISNUMBER(G58),ISNUMBER(H58),ISNUMBER(I58)), DATE(G58,H58,I58)-DATE(G58,1,1)+1, "")</f>
        <v>288</v>
      </c>
      <c r="R58" s="11">
        <f t="shared" si="1"/>
        <v>0</v>
      </c>
    </row>
    <row r="59" spans="1:18" x14ac:dyDescent="0.3">
      <c r="A59" s="4" t="s">
        <v>44</v>
      </c>
      <c r="B59" s="4" t="s">
        <v>13</v>
      </c>
      <c r="C59" s="9" t="s">
        <v>43</v>
      </c>
      <c r="E59" s="9">
        <v>33</v>
      </c>
      <c r="F59" s="6">
        <f t="shared" si="0"/>
        <v>45945</v>
      </c>
      <c r="G59" s="4">
        <v>2025</v>
      </c>
      <c r="H59" s="4">
        <v>10</v>
      </c>
      <c r="I59" s="4">
        <v>15</v>
      </c>
      <c r="J59" s="10">
        <v>1046</v>
      </c>
      <c r="K59" s="10">
        <f>350+600+1600+1100</f>
        <v>3650</v>
      </c>
      <c r="M59">
        <v>14.7</v>
      </c>
      <c r="N59"/>
      <c r="P59" s="4" t="s">
        <v>51</v>
      </c>
      <c r="Q59">
        <f>IF(AND(ISNUMBER(G59),ISNUMBER(H59),ISNUMBER(I59)), DATE(G59,H59,I59)-DATE(G59,1,1)+1, "")</f>
        <v>288</v>
      </c>
      <c r="R59" s="11">
        <f t="shared" si="1"/>
        <v>0</v>
      </c>
    </row>
    <row r="60" spans="1:18" x14ac:dyDescent="0.3">
      <c r="A60" s="4" t="s">
        <v>44</v>
      </c>
      <c r="B60" s="4" t="s">
        <v>13</v>
      </c>
      <c r="C60" s="9" t="s">
        <v>43</v>
      </c>
      <c r="E60" s="9">
        <v>40</v>
      </c>
      <c r="F60" s="6">
        <f t="shared" si="0"/>
        <v>45945</v>
      </c>
      <c r="G60" s="4">
        <v>2025</v>
      </c>
      <c r="H60" s="4">
        <v>10</v>
      </c>
      <c r="I60" s="4">
        <v>15</v>
      </c>
      <c r="J60" s="10">
        <v>1118</v>
      </c>
      <c r="K60" s="10">
        <f>6300+100+20+150</f>
        <v>6570</v>
      </c>
      <c r="M60">
        <v>14.7</v>
      </c>
      <c r="N60"/>
      <c r="P60" s="4" t="s">
        <v>51</v>
      </c>
      <c r="Q60">
        <f>IF(AND(ISNUMBER(G60),ISNUMBER(H60),ISNUMBER(I60)), DATE(G60,H60,I60)-DATE(G60,1,1)+1, "")</f>
        <v>288</v>
      </c>
      <c r="R60" s="11">
        <f t="shared" si="1"/>
        <v>0</v>
      </c>
    </row>
    <row r="61" spans="1:18" x14ac:dyDescent="0.3">
      <c r="A61" s="4" t="s">
        <v>44</v>
      </c>
      <c r="B61" s="4" t="s">
        <v>13</v>
      </c>
      <c r="C61" s="9" t="s">
        <v>43</v>
      </c>
      <c r="E61" s="9">
        <v>41</v>
      </c>
      <c r="F61" s="6">
        <f t="shared" si="0"/>
        <v>45945</v>
      </c>
      <c r="G61" s="4">
        <v>2025</v>
      </c>
      <c r="H61" s="4">
        <v>10</v>
      </c>
      <c r="I61" s="4">
        <v>15</v>
      </c>
      <c r="J61" s="10">
        <v>1125</v>
      </c>
      <c r="K61" s="10">
        <v>400</v>
      </c>
      <c r="M61">
        <v>14.7</v>
      </c>
      <c r="N61"/>
      <c r="P61" s="4" t="s">
        <v>51</v>
      </c>
      <c r="Q61">
        <f>IF(AND(ISNUMBER(G61),ISNUMBER(H61),ISNUMBER(I61)), DATE(G61,H61,I61)-DATE(G61,1,1)+1, "")</f>
        <v>288</v>
      </c>
      <c r="R61" s="11">
        <f t="shared" si="1"/>
        <v>0</v>
      </c>
    </row>
    <row r="62" spans="1:18" x14ac:dyDescent="0.3">
      <c r="A62" s="4" t="s">
        <v>44</v>
      </c>
      <c r="B62" s="4" t="s">
        <v>13</v>
      </c>
      <c r="C62" s="9" t="s">
        <v>43</v>
      </c>
      <c r="E62" s="9">
        <v>42</v>
      </c>
      <c r="F62" s="6">
        <f t="shared" si="0"/>
        <v>45945</v>
      </c>
      <c r="G62" s="4">
        <v>2025</v>
      </c>
      <c r="H62" s="4">
        <v>10</v>
      </c>
      <c r="I62" s="4">
        <v>15</v>
      </c>
      <c r="J62" s="10">
        <v>1135</v>
      </c>
      <c r="K62" s="10">
        <f>200+200+200+4600+900</f>
        <v>6100</v>
      </c>
      <c r="M62">
        <v>14.7</v>
      </c>
      <c r="N62"/>
      <c r="P62" s="4" t="s">
        <v>51</v>
      </c>
      <c r="Q62">
        <f>IF(AND(ISNUMBER(G62),ISNUMBER(H62),ISNUMBER(I62)), DATE(G62,H62,I62)-DATE(G62,1,1)+1, "")</f>
        <v>288</v>
      </c>
      <c r="R62" s="11">
        <f t="shared" si="1"/>
        <v>0</v>
      </c>
    </row>
    <row r="63" spans="1:18" x14ac:dyDescent="0.3">
      <c r="A63" s="4" t="s">
        <v>44</v>
      </c>
      <c r="B63" s="4" t="s">
        <v>13</v>
      </c>
      <c r="C63" s="9" t="s">
        <v>43</v>
      </c>
      <c r="E63" s="9">
        <v>43</v>
      </c>
      <c r="F63" s="6">
        <f t="shared" si="0"/>
        <v>45945</v>
      </c>
      <c r="G63" s="4">
        <v>2025</v>
      </c>
      <c r="H63" s="4">
        <v>10</v>
      </c>
      <c r="I63" s="4">
        <v>15</v>
      </c>
      <c r="J63" s="10">
        <v>1147</v>
      </c>
      <c r="K63" s="10">
        <f>100+350+350+300</f>
        <v>1100</v>
      </c>
      <c r="M63">
        <v>14.7</v>
      </c>
      <c r="N63"/>
      <c r="P63" s="4" t="s">
        <v>51</v>
      </c>
      <c r="Q63">
        <f>IF(AND(ISNUMBER(G63),ISNUMBER(H63),ISNUMBER(I63)), DATE(G63,H63,I63)-DATE(G63,1,1)+1, "")</f>
        <v>288</v>
      </c>
      <c r="R63" s="11">
        <f t="shared" si="1"/>
        <v>0</v>
      </c>
    </row>
    <row r="64" spans="1:18" x14ac:dyDescent="0.3">
      <c r="A64" s="4" t="s">
        <v>44</v>
      </c>
      <c r="B64" s="4" t="s">
        <v>13</v>
      </c>
      <c r="C64" s="9" t="s">
        <v>43</v>
      </c>
      <c r="E64" s="9">
        <v>44</v>
      </c>
      <c r="F64" s="6">
        <f t="shared" si="0"/>
        <v>45945</v>
      </c>
      <c r="G64" s="4">
        <v>2025</v>
      </c>
      <c r="H64" s="4">
        <v>10</v>
      </c>
      <c r="I64" s="4">
        <v>15</v>
      </c>
      <c r="J64" s="10">
        <v>1156</v>
      </c>
      <c r="K64" s="10">
        <v>2100</v>
      </c>
      <c r="M64">
        <v>14.7</v>
      </c>
      <c r="N64"/>
      <c r="P64" s="4" t="s">
        <v>51</v>
      </c>
      <c r="Q64">
        <f>IF(AND(ISNUMBER(G64),ISNUMBER(H64),ISNUMBER(I64)), DATE(G64,H64,I64)-DATE(G64,1,1)+1, "")</f>
        <v>288</v>
      </c>
      <c r="R64" s="11">
        <f t="shared" si="1"/>
        <v>0</v>
      </c>
    </row>
    <row r="65" spans="1:18" x14ac:dyDescent="0.3">
      <c r="A65" s="4" t="s">
        <v>44</v>
      </c>
      <c r="B65" s="4" t="s">
        <v>13</v>
      </c>
      <c r="C65" s="9" t="s">
        <v>43</v>
      </c>
      <c r="E65" s="9">
        <v>45</v>
      </c>
      <c r="F65" s="6">
        <f t="shared" si="0"/>
        <v>45945</v>
      </c>
      <c r="G65" s="4">
        <v>2025</v>
      </c>
      <c r="H65" s="4">
        <v>10</v>
      </c>
      <c r="I65" s="4">
        <v>15</v>
      </c>
      <c r="J65" s="10">
        <v>1159</v>
      </c>
      <c r="K65" s="10">
        <f>600+100+1300+550+100</f>
        <v>2650</v>
      </c>
      <c r="M65">
        <v>14.7</v>
      </c>
      <c r="N65"/>
      <c r="P65" s="4" t="s">
        <v>51</v>
      </c>
      <c r="Q65">
        <f>IF(AND(ISNUMBER(G65),ISNUMBER(H65),ISNUMBER(I65)), DATE(G65,H65,I65)-DATE(G65,1,1)+1, "")</f>
        <v>288</v>
      </c>
      <c r="R65" s="11">
        <f t="shared" si="1"/>
        <v>0</v>
      </c>
    </row>
    <row r="66" spans="1:18" x14ac:dyDescent="0.3">
      <c r="A66" s="4" t="s">
        <v>44</v>
      </c>
      <c r="B66" s="4" t="s">
        <v>13</v>
      </c>
      <c r="C66" s="9" t="s">
        <v>43</v>
      </c>
      <c r="E66" s="9">
        <v>47</v>
      </c>
      <c r="F66" s="6">
        <f t="shared" si="0"/>
        <v>45945</v>
      </c>
      <c r="G66" s="4">
        <v>2025</v>
      </c>
      <c r="H66" s="4">
        <v>10</v>
      </c>
      <c r="I66" s="4">
        <v>15</v>
      </c>
      <c r="J66" s="10">
        <v>1216</v>
      </c>
      <c r="K66" s="10">
        <v>100</v>
      </c>
      <c r="M66">
        <v>14.7</v>
      </c>
      <c r="N66"/>
      <c r="P66" s="4" t="s">
        <v>51</v>
      </c>
      <c r="Q66">
        <f>IF(AND(ISNUMBER(G66),ISNUMBER(H66),ISNUMBER(I66)), DATE(G66,H66,I66)-DATE(G66,1,1)+1, "")</f>
        <v>288</v>
      </c>
      <c r="R66" s="11">
        <f t="shared" si="1"/>
        <v>0</v>
      </c>
    </row>
    <row r="67" spans="1:18" x14ac:dyDescent="0.3">
      <c r="A67" s="4" t="s">
        <v>44</v>
      </c>
      <c r="B67" s="4" t="s">
        <v>13</v>
      </c>
      <c r="C67" s="9" t="s">
        <v>43</v>
      </c>
      <c r="E67" s="9">
        <v>24</v>
      </c>
      <c r="F67" s="6">
        <f t="shared" ref="F67:F130" si="2">IF(AND(ISNUMBER(G67),ISNUMBER(H67),ISNUMBER(I67)),DATE(G67,H67,I67),"")</f>
        <v>45950</v>
      </c>
      <c r="G67" s="4">
        <v>2025</v>
      </c>
      <c r="H67" s="4">
        <v>10</v>
      </c>
      <c r="I67" s="4">
        <v>20</v>
      </c>
      <c r="J67" s="10">
        <v>1017</v>
      </c>
      <c r="K67" s="10">
        <f>500+800+100+800+150+200</f>
        <v>2550</v>
      </c>
      <c r="M67">
        <v>13.7</v>
      </c>
      <c r="N67"/>
      <c r="P67" s="4" t="s">
        <v>50</v>
      </c>
      <c r="Q67">
        <f>IF(AND(ISNUMBER(G67),ISNUMBER(H67),ISNUMBER(I67)), DATE(G67,H67,I67)-DATE(G67,1,1)+1, "")</f>
        <v>293</v>
      </c>
      <c r="R67" s="11">
        <f t="shared" ref="R67:R130" si="3">HOUR(J67)*100+MINUTE(J67)</f>
        <v>0</v>
      </c>
    </row>
    <row r="68" spans="1:18" x14ac:dyDescent="0.3">
      <c r="A68" s="4" t="s">
        <v>44</v>
      </c>
      <c r="B68" s="4" t="s">
        <v>13</v>
      </c>
      <c r="C68" s="9" t="s">
        <v>43</v>
      </c>
      <c r="E68" s="9">
        <v>26</v>
      </c>
      <c r="F68" s="6">
        <f t="shared" si="2"/>
        <v>45950</v>
      </c>
      <c r="G68" s="4">
        <v>2025</v>
      </c>
      <c r="H68" s="4">
        <v>10</v>
      </c>
      <c r="I68" s="4">
        <v>20</v>
      </c>
      <c r="J68" s="10">
        <v>1025</v>
      </c>
      <c r="K68" s="10">
        <v>1020</v>
      </c>
      <c r="M68">
        <v>13.7</v>
      </c>
      <c r="N68"/>
      <c r="P68" s="4" t="s">
        <v>50</v>
      </c>
      <c r="Q68">
        <f>IF(AND(ISNUMBER(G68),ISNUMBER(H68),ISNUMBER(I68)), DATE(G68,H68,I68)-DATE(G68,1,1)+1, "")</f>
        <v>293</v>
      </c>
      <c r="R68" s="11">
        <f t="shared" si="3"/>
        <v>0</v>
      </c>
    </row>
    <row r="69" spans="1:18" x14ac:dyDescent="0.3">
      <c r="A69" s="4" t="s">
        <v>44</v>
      </c>
      <c r="B69" s="4" t="s">
        <v>13</v>
      </c>
      <c r="C69" s="9" t="s">
        <v>43</v>
      </c>
      <c r="E69" s="9">
        <v>27</v>
      </c>
      <c r="F69" s="6">
        <f t="shared" si="2"/>
        <v>45950</v>
      </c>
      <c r="G69" s="4">
        <v>2025</v>
      </c>
      <c r="H69" s="4">
        <v>10</v>
      </c>
      <c r="I69" s="4">
        <v>20</v>
      </c>
      <c r="J69" s="10">
        <v>1030</v>
      </c>
      <c r="K69" s="10">
        <v>100</v>
      </c>
      <c r="M69">
        <v>13.7</v>
      </c>
      <c r="N69"/>
      <c r="P69" s="4" t="s">
        <v>50</v>
      </c>
      <c r="Q69">
        <f>IF(AND(ISNUMBER(G69),ISNUMBER(H69),ISNUMBER(I69)), DATE(G69,H69,I69)-DATE(G69,1,1)+1, "")</f>
        <v>293</v>
      </c>
      <c r="R69" s="11">
        <f t="shared" si="3"/>
        <v>0</v>
      </c>
    </row>
    <row r="70" spans="1:18" x14ac:dyDescent="0.3">
      <c r="A70" s="4" t="s">
        <v>44</v>
      </c>
      <c r="B70" s="4" t="s">
        <v>13</v>
      </c>
      <c r="C70" s="9" t="s">
        <v>43</v>
      </c>
      <c r="E70" s="9">
        <v>29</v>
      </c>
      <c r="F70" s="6">
        <f t="shared" si="2"/>
        <v>45950</v>
      </c>
      <c r="G70" s="4">
        <v>2025</v>
      </c>
      <c r="H70" s="4">
        <v>10</v>
      </c>
      <c r="I70" s="4">
        <v>20</v>
      </c>
      <c r="J70" s="10">
        <v>1038</v>
      </c>
      <c r="K70" s="10">
        <v>700</v>
      </c>
      <c r="M70">
        <v>13.7</v>
      </c>
      <c r="N70"/>
      <c r="P70" s="4" t="s">
        <v>50</v>
      </c>
      <c r="Q70">
        <f>IF(AND(ISNUMBER(G70),ISNUMBER(H70),ISNUMBER(I70)), DATE(G70,H70,I70)-DATE(G70,1,1)+1, "")</f>
        <v>293</v>
      </c>
      <c r="R70" s="11">
        <f t="shared" si="3"/>
        <v>0</v>
      </c>
    </row>
    <row r="71" spans="1:18" x14ac:dyDescent="0.3">
      <c r="A71" s="4" t="s">
        <v>44</v>
      </c>
      <c r="B71" s="4" t="s">
        <v>13</v>
      </c>
      <c r="C71" s="9" t="s">
        <v>43</v>
      </c>
      <c r="E71" s="9">
        <v>30</v>
      </c>
      <c r="F71" s="6">
        <f t="shared" si="2"/>
        <v>45950</v>
      </c>
      <c r="G71" s="4">
        <v>2025</v>
      </c>
      <c r="H71" s="4">
        <v>10</v>
      </c>
      <c r="I71" s="4">
        <v>20</v>
      </c>
      <c r="J71" s="10">
        <v>1042</v>
      </c>
      <c r="K71" s="10">
        <v>200</v>
      </c>
      <c r="M71">
        <v>13.7</v>
      </c>
      <c r="N71"/>
      <c r="P71" s="4" t="s">
        <v>50</v>
      </c>
      <c r="Q71">
        <f>IF(AND(ISNUMBER(G71),ISNUMBER(H71),ISNUMBER(I71)), DATE(G71,H71,I71)-DATE(G71,1,1)+1, "")</f>
        <v>293</v>
      </c>
      <c r="R71" s="11">
        <f t="shared" si="3"/>
        <v>0</v>
      </c>
    </row>
    <row r="72" spans="1:18" x14ac:dyDescent="0.3">
      <c r="A72" s="4" t="s">
        <v>44</v>
      </c>
      <c r="B72" s="4" t="s">
        <v>13</v>
      </c>
      <c r="C72" s="9" t="s">
        <v>43</v>
      </c>
      <c r="E72" s="9">
        <v>31</v>
      </c>
      <c r="F72" s="6">
        <f t="shared" si="2"/>
        <v>45950</v>
      </c>
      <c r="G72" s="4">
        <v>2025</v>
      </c>
      <c r="H72" s="4">
        <v>10</v>
      </c>
      <c r="I72" s="4">
        <v>20</v>
      </c>
      <c r="J72" s="10">
        <v>1051</v>
      </c>
      <c r="K72" s="10">
        <v>1300</v>
      </c>
      <c r="M72">
        <v>13.7</v>
      </c>
      <c r="N72"/>
      <c r="P72" s="4" t="s">
        <v>50</v>
      </c>
      <c r="Q72">
        <f>IF(AND(ISNUMBER(G72),ISNUMBER(H72),ISNUMBER(I72)), DATE(G72,H72,I72)-DATE(G72,1,1)+1, "")</f>
        <v>293</v>
      </c>
      <c r="R72" s="11">
        <f t="shared" si="3"/>
        <v>0</v>
      </c>
    </row>
    <row r="73" spans="1:18" x14ac:dyDescent="0.3">
      <c r="A73" s="4" t="s">
        <v>44</v>
      </c>
      <c r="B73" s="4" t="s">
        <v>13</v>
      </c>
      <c r="C73" s="9" t="s">
        <v>43</v>
      </c>
      <c r="E73" s="9">
        <v>32</v>
      </c>
      <c r="F73" s="6">
        <f t="shared" si="2"/>
        <v>45950</v>
      </c>
      <c r="G73" s="4">
        <v>2025</v>
      </c>
      <c r="H73" s="4">
        <v>10</v>
      </c>
      <c r="I73" s="4">
        <v>20</v>
      </c>
      <c r="J73" s="10">
        <v>1100</v>
      </c>
      <c r="K73" s="10">
        <f>350+100+500+250+2400+50</f>
        <v>3650</v>
      </c>
      <c r="M73">
        <v>13.7</v>
      </c>
      <c r="N73"/>
      <c r="P73" s="4" t="s">
        <v>50</v>
      </c>
      <c r="Q73">
        <f>IF(AND(ISNUMBER(G73),ISNUMBER(H73),ISNUMBER(I73)), DATE(G73,H73,I73)-DATE(G73,1,1)+1, "")</f>
        <v>293</v>
      </c>
      <c r="R73" s="11">
        <f t="shared" si="3"/>
        <v>0</v>
      </c>
    </row>
    <row r="74" spans="1:18" x14ac:dyDescent="0.3">
      <c r="A74" s="4" t="s">
        <v>44</v>
      </c>
      <c r="B74" s="4" t="s">
        <v>13</v>
      </c>
      <c r="C74" s="9" t="s">
        <v>43</v>
      </c>
      <c r="E74" s="9">
        <v>33</v>
      </c>
      <c r="F74" s="6">
        <f t="shared" si="2"/>
        <v>45950</v>
      </c>
      <c r="G74" s="4">
        <v>2025</v>
      </c>
      <c r="H74" s="4">
        <v>10</v>
      </c>
      <c r="I74" s="4">
        <v>20</v>
      </c>
      <c r="J74" s="10">
        <v>1110</v>
      </c>
      <c r="K74" s="10">
        <v>1150</v>
      </c>
      <c r="M74">
        <v>13.7</v>
      </c>
      <c r="N74"/>
      <c r="P74" s="4" t="s">
        <v>50</v>
      </c>
      <c r="Q74">
        <f>IF(AND(ISNUMBER(G74),ISNUMBER(H74),ISNUMBER(I74)), DATE(G74,H74,I74)-DATE(G74,1,1)+1, "")</f>
        <v>293</v>
      </c>
      <c r="R74" s="11">
        <f t="shared" si="3"/>
        <v>0</v>
      </c>
    </row>
    <row r="75" spans="1:18" x14ac:dyDescent="0.3">
      <c r="A75" s="4" t="s">
        <v>44</v>
      </c>
      <c r="B75" s="4" t="s">
        <v>13</v>
      </c>
      <c r="C75" s="9" t="s">
        <v>43</v>
      </c>
      <c r="E75" s="9">
        <v>40</v>
      </c>
      <c r="F75" s="6">
        <f t="shared" si="2"/>
        <v>45950</v>
      </c>
      <c r="G75" s="4">
        <v>2025</v>
      </c>
      <c r="H75" s="4">
        <v>10</v>
      </c>
      <c r="I75" s="4">
        <v>20</v>
      </c>
      <c r="J75" s="10">
        <v>1144</v>
      </c>
      <c r="K75" s="10">
        <v>3550</v>
      </c>
      <c r="M75">
        <v>13.7</v>
      </c>
      <c r="N75"/>
      <c r="P75" s="4" t="s">
        <v>50</v>
      </c>
      <c r="Q75">
        <f>IF(AND(ISNUMBER(G75),ISNUMBER(H75),ISNUMBER(I75)), DATE(G75,H75,I75)-DATE(G75,1,1)+1, "")</f>
        <v>293</v>
      </c>
      <c r="R75" s="11">
        <f t="shared" si="3"/>
        <v>0</v>
      </c>
    </row>
    <row r="76" spans="1:18" x14ac:dyDescent="0.3">
      <c r="A76" s="4" t="s">
        <v>44</v>
      </c>
      <c r="B76" s="4" t="s">
        <v>13</v>
      </c>
      <c r="C76" s="9" t="s">
        <v>43</v>
      </c>
      <c r="E76" s="9">
        <v>41</v>
      </c>
      <c r="F76" s="6">
        <f t="shared" si="2"/>
        <v>45950</v>
      </c>
      <c r="G76" s="4">
        <v>2025</v>
      </c>
      <c r="H76" s="4">
        <v>10</v>
      </c>
      <c r="I76" s="4">
        <v>20</v>
      </c>
      <c r="J76" s="10">
        <v>1147</v>
      </c>
      <c r="K76" s="10">
        <v>30</v>
      </c>
      <c r="M76">
        <v>13.7</v>
      </c>
      <c r="N76"/>
      <c r="P76" s="4" t="s">
        <v>50</v>
      </c>
      <c r="Q76">
        <f>IF(AND(ISNUMBER(G76),ISNUMBER(H76),ISNUMBER(I76)), DATE(G76,H76,I76)-DATE(G76,1,1)+1, "")</f>
        <v>293</v>
      </c>
      <c r="R76" s="11">
        <f t="shared" si="3"/>
        <v>0</v>
      </c>
    </row>
    <row r="77" spans="1:18" x14ac:dyDescent="0.3">
      <c r="A77" s="4" t="s">
        <v>44</v>
      </c>
      <c r="B77" s="4" t="s">
        <v>13</v>
      </c>
      <c r="C77" s="9" t="s">
        <v>43</v>
      </c>
      <c r="E77" s="9">
        <v>42</v>
      </c>
      <c r="F77" s="6">
        <f t="shared" si="2"/>
        <v>45950</v>
      </c>
      <c r="G77" s="4">
        <v>2025</v>
      </c>
      <c r="H77" s="4">
        <v>10</v>
      </c>
      <c r="I77" s="4">
        <v>20</v>
      </c>
      <c r="J77" s="10">
        <v>1200</v>
      </c>
      <c r="K77" s="10">
        <v>1850</v>
      </c>
      <c r="M77">
        <v>13.7</v>
      </c>
      <c r="N77"/>
      <c r="P77" s="4" t="s">
        <v>50</v>
      </c>
      <c r="Q77">
        <f>IF(AND(ISNUMBER(G77),ISNUMBER(H77),ISNUMBER(I77)), DATE(G77,H77,I77)-DATE(G77,1,1)+1, "")</f>
        <v>293</v>
      </c>
      <c r="R77" s="11">
        <f t="shared" si="3"/>
        <v>0</v>
      </c>
    </row>
    <row r="78" spans="1:18" x14ac:dyDescent="0.3">
      <c r="A78" s="4" t="s">
        <v>44</v>
      </c>
      <c r="B78" s="4" t="s">
        <v>13</v>
      </c>
      <c r="C78" s="9" t="s">
        <v>43</v>
      </c>
      <c r="E78" s="9">
        <v>43</v>
      </c>
      <c r="F78" s="6">
        <f t="shared" si="2"/>
        <v>45950</v>
      </c>
      <c r="G78" s="4">
        <v>2025</v>
      </c>
      <c r="H78" s="4">
        <v>10</v>
      </c>
      <c r="I78" s="4">
        <v>20</v>
      </c>
      <c r="J78" s="10">
        <v>1212</v>
      </c>
      <c r="K78" s="10">
        <v>450</v>
      </c>
      <c r="M78">
        <v>13.7</v>
      </c>
      <c r="N78"/>
      <c r="P78" s="4" t="s">
        <v>50</v>
      </c>
      <c r="Q78">
        <f>IF(AND(ISNUMBER(G78),ISNUMBER(H78),ISNUMBER(I78)), DATE(G78,H78,I78)-DATE(G78,1,1)+1, "")</f>
        <v>293</v>
      </c>
      <c r="R78" s="11">
        <f t="shared" si="3"/>
        <v>0</v>
      </c>
    </row>
    <row r="79" spans="1:18" x14ac:dyDescent="0.3">
      <c r="A79" s="4" t="s">
        <v>44</v>
      </c>
      <c r="B79" s="4" t="s">
        <v>13</v>
      </c>
      <c r="C79" s="9" t="s">
        <v>43</v>
      </c>
      <c r="E79" s="9">
        <v>44</v>
      </c>
      <c r="F79" s="6">
        <f t="shared" si="2"/>
        <v>45950</v>
      </c>
      <c r="G79" s="4">
        <v>2025</v>
      </c>
      <c r="H79" s="4">
        <v>10</v>
      </c>
      <c r="I79" s="4">
        <v>20</v>
      </c>
      <c r="J79" s="10">
        <v>1218</v>
      </c>
      <c r="K79" s="10">
        <v>850</v>
      </c>
      <c r="M79">
        <v>13.7</v>
      </c>
      <c r="N79"/>
      <c r="P79" s="4" t="s">
        <v>50</v>
      </c>
      <c r="Q79">
        <f>IF(AND(ISNUMBER(G79),ISNUMBER(H79),ISNUMBER(I79)), DATE(G79,H79,I79)-DATE(G79,1,1)+1, "")</f>
        <v>293</v>
      </c>
      <c r="R79" s="11">
        <f t="shared" si="3"/>
        <v>0</v>
      </c>
    </row>
    <row r="80" spans="1:18" x14ac:dyDescent="0.3">
      <c r="A80" s="4" t="s">
        <v>44</v>
      </c>
      <c r="B80" s="4" t="s">
        <v>13</v>
      </c>
      <c r="C80" s="9" t="s">
        <v>43</v>
      </c>
      <c r="E80" s="9">
        <v>46</v>
      </c>
      <c r="F80" s="6">
        <f t="shared" si="2"/>
        <v>45950</v>
      </c>
      <c r="G80" s="4">
        <v>2025</v>
      </c>
      <c r="H80" s="4">
        <v>10</v>
      </c>
      <c r="I80" s="4">
        <v>20</v>
      </c>
      <c r="J80" s="10">
        <v>1220</v>
      </c>
      <c r="K80" s="10">
        <v>1200</v>
      </c>
      <c r="M80">
        <v>13.7</v>
      </c>
      <c r="N80"/>
      <c r="P80" s="4" t="s">
        <v>50</v>
      </c>
      <c r="Q80">
        <f>IF(AND(ISNUMBER(G80),ISNUMBER(H80),ISNUMBER(I80)), DATE(G80,H80,I80)-DATE(G80,1,1)+1, "")</f>
        <v>293</v>
      </c>
      <c r="R80" s="11">
        <f t="shared" si="3"/>
        <v>0</v>
      </c>
    </row>
    <row r="81" spans="1:18" x14ac:dyDescent="0.3">
      <c r="A81" s="4" t="s">
        <v>44</v>
      </c>
      <c r="B81" s="4" t="s">
        <v>13</v>
      </c>
      <c r="C81" s="9" t="s">
        <v>43</v>
      </c>
      <c r="E81" s="9">
        <v>47</v>
      </c>
      <c r="F81" s="6">
        <f t="shared" si="2"/>
        <v>45950</v>
      </c>
      <c r="G81" s="4">
        <v>2025</v>
      </c>
      <c r="H81" s="4">
        <v>10</v>
      </c>
      <c r="I81" s="4">
        <v>20</v>
      </c>
      <c r="J81" s="10">
        <v>1238</v>
      </c>
      <c r="K81" s="10">
        <f>1750+1300+300</f>
        <v>3350</v>
      </c>
      <c r="M81">
        <v>13.7</v>
      </c>
      <c r="N81"/>
      <c r="P81" s="4" t="s">
        <v>50</v>
      </c>
      <c r="Q81">
        <f>IF(AND(ISNUMBER(G81),ISNUMBER(H81),ISNUMBER(I81)), DATE(G81,H81,I81)-DATE(G81,1,1)+1, "")</f>
        <v>293</v>
      </c>
      <c r="R81" s="11">
        <f t="shared" si="3"/>
        <v>0</v>
      </c>
    </row>
    <row r="82" spans="1:18" x14ac:dyDescent="0.3">
      <c r="A82" s="4" t="s">
        <v>44</v>
      </c>
      <c r="B82" s="4" t="s">
        <v>13</v>
      </c>
      <c r="C82" s="9" t="s">
        <v>43</v>
      </c>
      <c r="E82" s="9">
        <v>48</v>
      </c>
      <c r="F82" s="6">
        <f t="shared" si="2"/>
        <v>45950</v>
      </c>
      <c r="G82" s="4">
        <v>2025</v>
      </c>
      <c r="H82" s="4">
        <v>10</v>
      </c>
      <c r="I82" s="4">
        <v>20</v>
      </c>
      <c r="J82" s="10">
        <v>1239</v>
      </c>
      <c r="K82" s="10">
        <v>1350</v>
      </c>
      <c r="M82">
        <v>13.7</v>
      </c>
      <c r="N82"/>
      <c r="P82" s="4" t="s">
        <v>50</v>
      </c>
      <c r="Q82">
        <f>IF(AND(ISNUMBER(G82),ISNUMBER(H82),ISNUMBER(I82)), DATE(G82,H82,I82)-DATE(G82,1,1)+1, "")</f>
        <v>293</v>
      </c>
      <c r="R82" s="11">
        <f t="shared" si="3"/>
        <v>0</v>
      </c>
    </row>
    <row r="83" spans="1:18" x14ac:dyDescent="0.3">
      <c r="A83" s="4" t="s">
        <v>44</v>
      </c>
      <c r="B83" s="4" t="s">
        <v>13</v>
      </c>
      <c r="C83" s="9" t="s">
        <v>43</v>
      </c>
      <c r="E83" s="9">
        <v>24</v>
      </c>
      <c r="F83" s="6">
        <f t="shared" si="2"/>
        <v>45955</v>
      </c>
      <c r="G83" s="4">
        <v>2025</v>
      </c>
      <c r="H83" s="4">
        <v>10</v>
      </c>
      <c r="I83" s="4">
        <v>25</v>
      </c>
      <c r="J83" s="10">
        <v>954</v>
      </c>
      <c r="K83" s="10">
        <v>400</v>
      </c>
      <c r="M83">
        <v>12.7</v>
      </c>
      <c r="N83"/>
      <c r="P83" s="4" t="s">
        <v>50</v>
      </c>
      <c r="Q83">
        <f>IF(AND(ISNUMBER(G83),ISNUMBER(H83),ISNUMBER(I83)), DATE(G83,H83,I83)-DATE(G83,1,1)+1, "")</f>
        <v>298</v>
      </c>
      <c r="R83" s="11">
        <f t="shared" si="3"/>
        <v>0</v>
      </c>
    </row>
    <row r="84" spans="1:18" x14ac:dyDescent="0.3">
      <c r="A84" s="4" t="s">
        <v>44</v>
      </c>
      <c r="B84" s="4" t="s">
        <v>13</v>
      </c>
      <c r="C84" s="9" t="s">
        <v>43</v>
      </c>
      <c r="E84" s="9">
        <v>25</v>
      </c>
      <c r="F84" s="6">
        <f t="shared" si="2"/>
        <v>45955</v>
      </c>
      <c r="G84" s="4">
        <v>2025</v>
      </c>
      <c r="H84" s="4">
        <v>10</v>
      </c>
      <c r="I84" s="4">
        <v>25</v>
      </c>
      <c r="J84" s="10">
        <v>957</v>
      </c>
      <c r="K84" s="10">
        <v>1020</v>
      </c>
      <c r="M84">
        <v>12.7</v>
      </c>
      <c r="N84"/>
      <c r="P84" s="4" t="s">
        <v>50</v>
      </c>
      <c r="Q84">
        <f>IF(AND(ISNUMBER(G84),ISNUMBER(H84),ISNUMBER(I84)), DATE(G84,H84,I84)-DATE(G84,1,1)+1, "")</f>
        <v>298</v>
      </c>
      <c r="R84" s="11">
        <f t="shared" si="3"/>
        <v>0</v>
      </c>
    </row>
    <row r="85" spans="1:18" x14ac:dyDescent="0.3">
      <c r="A85" s="4" t="s">
        <v>44</v>
      </c>
      <c r="B85" s="4" t="s">
        <v>13</v>
      </c>
      <c r="C85" s="9" t="s">
        <v>43</v>
      </c>
      <c r="E85" s="9">
        <v>26</v>
      </c>
      <c r="F85" s="6">
        <f t="shared" si="2"/>
        <v>45955</v>
      </c>
      <c r="G85" s="4">
        <v>2025</v>
      </c>
      <c r="H85" s="4">
        <v>10</v>
      </c>
      <c r="I85" s="4">
        <v>25</v>
      </c>
      <c r="J85" s="10">
        <v>1001</v>
      </c>
      <c r="K85" s="10">
        <v>400</v>
      </c>
      <c r="M85">
        <v>12.7</v>
      </c>
      <c r="N85"/>
      <c r="P85" s="4" t="s">
        <v>50</v>
      </c>
      <c r="Q85">
        <f>IF(AND(ISNUMBER(G85),ISNUMBER(H85),ISNUMBER(I85)), DATE(G85,H85,I85)-DATE(G85,1,1)+1, "")</f>
        <v>298</v>
      </c>
      <c r="R85" s="11">
        <f t="shared" si="3"/>
        <v>0</v>
      </c>
    </row>
    <row r="86" spans="1:18" x14ac:dyDescent="0.3">
      <c r="A86" s="4" t="s">
        <v>44</v>
      </c>
      <c r="B86" s="4" t="s">
        <v>13</v>
      </c>
      <c r="C86" s="9" t="s">
        <v>43</v>
      </c>
      <c r="E86" s="9">
        <v>29</v>
      </c>
      <c r="F86" s="6">
        <f t="shared" si="2"/>
        <v>45955</v>
      </c>
      <c r="G86" s="4">
        <v>2025</v>
      </c>
      <c r="H86" s="4">
        <v>10</v>
      </c>
      <c r="I86" s="4">
        <v>25</v>
      </c>
      <c r="J86" s="10">
        <v>1013</v>
      </c>
      <c r="K86" s="10">
        <v>350</v>
      </c>
      <c r="M86">
        <v>12.7</v>
      </c>
      <c r="N86"/>
      <c r="P86" s="4" t="s">
        <v>50</v>
      </c>
      <c r="Q86">
        <f>IF(AND(ISNUMBER(G86),ISNUMBER(H86),ISNUMBER(I86)), DATE(G86,H86,I86)-DATE(G86,1,1)+1, "")</f>
        <v>298</v>
      </c>
      <c r="R86" s="11">
        <f t="shared" si="3"/>
        <v>0</v>
      </c>
    </row>
    <row r="87" spans="1:18" x14ac:dyDescent="0.3">
      <c r="A87" s="4" t="s">
        <v>44</v>
      </c>
      <c r="B87" s="4" t="s">
        <v>13</v>
      </c>
      <c r="C87" s="9" t="s">
        <v>43</v>
      </c>
      <c r="E87" s="9">
        <v>30</v>
      </c>
      <c r="F87" s="6">
        <f t="shared" si="2"/>
        <v>45955</v>
      </c>
      <c r="G87" s="4">
        <v>2025</v>
      </c>
      <c r="H87" s="4">
        <v>10</v>
      </c>
      <c r="I87" s="4">
        <v>25</v>
      </c>
      <c r="J87" s="10">
        <v>1017</v>
      </c>
      <c r="K87" s="10">
        <v>200</v>
      </c>
      <c r="M87">
        <v>12.7</v>
      </c>
      <c r="N87"/>
      <c r="P87" s="4" t="s">
        <v>50</v>
      </c>
      <c r="Q87">
        <f>IF(AND(ISNUMBER(G87),ISNUMBER(H87),ISNUMBER(I87)), DATE(G87,H87,I87)-DATE(G87,1,1)+1, "")</f>
        <v>298</v>
      </c>
      <c r="R87" s="11">
        <f t="shared" si="3"/>
        <v>0</v>
      </c>
    </row>
    <row r="88" spans="1:18" x14ac:dyDescent="0.3">
      <c r="A88" s="4" t="s">
        <v>44</v>
      </c>
      <c r="B88" s="4" t="s">
        <v>13</v>
      </c>
      <c r="C88" s="9" t="s">
        <v>43</v>
      </c>
      <c r="E88" s="9">
        <v>31</v>
      </c>
      <c r="F88" s="6">
        <f t="shared" si="2"/>
        <v>45955</v>
      </c>
      <c r="G88" s="4">
        <v>2025</v>
      </c>
      <c r="H88" s="4">
        <v>10</v>
      </c>
      <c r="I88" s="4">
        <v>25</v>
      </c>
      <c r="J88" s="10">
        <v>1024</v>
      </c>
      <c r="K88" s="10">
        <v>650</v>
      </c>
      <c r="M88">
        <v>12.7</v>
      </c>
      <c r="N88"/>
      <c r="P88" s="4" t="s">
        <v>50</v>
      </c>
      <c r="Q88">
        <f>IF(AND(ISNUMBER(G88),ISNUMBER(H88),ISNUMBER(I88)), DATE(G88,H88,I88)-DATE(G88,1,1)+1, "")</f>
        <v>298</v>
      </c>
      <c r="R88" s="11">
        <f t="shared" si="3"/>
        <v>0</v>
      </c>
    </row>
    <row r="89" spans="1:18" x14ac:dyDescent="0.3">
      <c r="A89" s="4" t="s">
        <v>44</v>
      </c>
      <c r="B89" s="4" t="s">
        <v>13</v>
      </c>
      <c r="C89" s="9" t="s">
        <v>43</v>
      </c>
      <c r="E89" s="9">
        <v>32</v>
      </c>
      <c r="F89" s="6">
        <f t="shared" si="2"/>
        <v>45955</v>
      </c>
      <c r="G89" s="4">
        <v>2025</v>
      </c>
      <c r="H89" s="4">
        <v>10</v>
      </c>
      <c r="I89" s="4">
        <v>25</v>
      </c>
      <c r="J89" s="10">
        <v>1031</v>
      </c>
      <c r="K89" s="10">
        <v>2100</v>
      </c>
      <c r="M89">
        <v>12.7</v>
      </c>
      <c r="N89"/>
      <c r="P89" s="4" t="s">
        <v>50</v>
      </c>
      <c r="Q89">
        <f>IF(AND(ISNUMBER(G89),ISNUMBER(H89),ISNUMBER(I89)), DATE(G89,H89,I89)-DATE(G89,1,1)+1, "")</f>
        <v>298</v>
      </c>
      <c r="R89" s="11">
        <f t="shared" si="3"/>
        <v>0</v>
      </c>
    </row>
    <row r="90" spans="1:18" x14ac:dyDescent="0.3">
      <c r="A90" s="4" t="s">
        <v>44</v>
      </c>
      <c r="B90" s="4" t="s">
        <v>13</v>
      </c>
      <c r="C90" s="9" t="s">
        <v>43</v>
      </c>
      <c r="E90" s="9">
        <v>33</v>
      </c>
      <c r="F90" s="6">
        <f t="shared" si="2"/>
        <v>45955</v>
      </c>
      <c r="G90" s="4">
        <v>2025</v>
      </c>
      <c r="H90" s="4">
        <v>10</v>
      </c>
      <c r="I90" s="4">
        <v>25</v>
      </c>
      <c r="J90" s="10">
        <v>1043</v>
      </c>
      <c r="K90" s="10">
        <v>1350</v>
      </c>
      <c r="M90">
        <v>12.7</v>
      </c>
      <c r="N90"/>
      <c r="P90" s="4" t="s">
        <v>50</v>
      </c>
      <c r="Q90">
        <f>IF(AND(ISNUMBER(G90),ISNUMBER(H90),ISNUMBER(I90)), DATE(G90,H90,I90)-DATE(G90,1,1)+1, "")</f>
        <v>298</v>
      </c>
      <c r="R90" s="11">
        <f t="shared" si="3"/>
        <v>0</v>
      </c>
    </row>
    <row r="91" spans="1:18" x14ac:dyDescent="0.3">
      <c r="A91" s="4" t="s">
        <v>44</v>
      </c>
      <c r="B91" s="4" t="s">
        <v>13</v>
      </c>
      <c r="C91" s="9" t="s">
        <v>43</v>
      </c>
      <c r="E91" s="9">
        <v>40</v>
      </c>
      <c r="F91" s="6">
        <f t="shared" si="2"/>
        <v>45955</v>
      </c>
      <c r="G91" s="4">
        <v>2025</v>
      </c>
      <c r="H91" s="4">
        <v>10</v>
      </c>
      <c r="I91" s="4">
        <v>25</v>
      </c>
      <c r="J91" s="10">
        <v>1103</v>
      </c>
      <c r="K91" s="10">
        <v>1500</v>
      </c>
      <c r="M91">
        <v>12.7</v>
      </c>
      <c r="N91"/>
      <c r="P91" s="4" t="s">
        <v>50</v>
      </c>
      <c r="Q91">
        <f>IF(AND(ISNUMBER(G91),ISNUMBER(H91),ISNUMBER(I91)), DATE(G91,H91,I91)-DATE(G91,1,1)+1, "")</f>
        <v>298</v>
      </c>
      <c r="R91" s="11">
        <f t="shared" si="3"/>
        <v>0</v>
      </c>
    </row>
    <row r="92" spans="1:18" x14ac:dyDescent="0.3">
      <c r="A92" s="4" t="s">
        <v>44</v>
      </c>
      <c r="B92" s="4" t="s">
        <v>13</v>
      </c>
      <c r="C92" s="9" t="s">
        <v>43</v>
      </c>
      <c r="E92" s="9">
        <v>42</v>
      </c>
      <c r="F92" s="6">
        <f t="shared" si="2"/>
        <v>45955</v>
      </c>
      <c r="G92" s="4">
        <v>2025</v>
      </c>
      <c r="H92" s="4">
        <v>10</v>
      </c>
      <c r="I92" s="4">
        <v>25</v>
      </c>
      <c r="J92" s="10">
        <v>1115</v>
      </c>
      <c r="K92" s="10">
        <v>650</v>
      </c>
      <c r="M92">
        <v>12.7</v>
      </c>
      <c r="N92"/>
      <c r="P92" s="4" t="s">
        <v>50</v>
      </c>
      <c r="Q92">
        <f>IF(AND(ISNUMBER(G92),ISNUMBER(H92),ISNUMBER(I92)), DATE(G92,H92,I92)-DATE(G92,1,1)+1, "")</f>
        <v>298</v>
      </c>
      <c r="R92" s="11">
        <f t="shared" si="3"/>
        <v>0</v>
      </c>
    </row>
    <row r="93" spans="1:18" x14ac:dyDescent="0.3">
      <c r="A93" s="4" t="s">
        <v>44</v>
      </c>
      <c r="B93" s="4" t="s">
        <v>13</v>
      </c>
      <c r="C93" s="9" t="s">
        <v>43</v>
      </c>
      <c r="E93" s="9">
        <v>43</v>
      </c>
      <c r="F93" s="6">
        <f t="shared" si="2"/>
        <v>45955</v>
      </c>
      <c r="G93" s="4">
        <v>2025</v>
      </c>
      <c r="H93" s="4">
        <v>10</v>
      </c>
      <c r="I93" s="4">
        <v>25</v>
      </c>
      <c r="J93" s="10">
        <v>1127</v>
      </c>
      <c r="K93" s="10">
        <v>300</v>
      </c>
      <c r="M93">
        <v>12.7</v>
      </c>
      <c r="N93"/>
      <c r="P93" s="4" t="s">
        <v>50</v>
      </c>
      <c r="Q93">
        <f>IF(AND(ISNUMBER(G93),ISNUMBER(H93),ISNUMBER(I93)), DATE(G93,H93,I93)-DATE(G93,1,1)+1, "")</f>
        <v>298</v>
      </c>
      <c r="R93" s="11">
        <f t="shared" si="3"/>
        <v>0</v>
      </c>
    </row>
    <row r="94" spans="1:18" x14ac:dyDescent="0.3">
      <c r="A94" s="4" t="s">
        <v>44</v>
      </c>
      <c r="B94" s="4" t="s">
        <v>13</v>
      </c>
      <c r="C94" s="9" t="s">
        <v>43</v>
      </c>
      <c r="E94" s="9">
        <v>44</v>
      </c>
      <c r="F94" s="6">
        <f t="shared" si="2"/>
        <v>45955</v>
      </c>
      <c r="G94" s="4">
        <v>2025</v>
      </c>
      <c r="H94" s="4">
        <v>10</v>
      </c>
      <c r="I94" s="4">
        <v>25</v>
      </c>
      <c r="J94" s="10"/>
      <c r="K94" s="10">
        <v>250</v>
      </c>
      <c r="M94">
        <v>12.7</v>
      </c>
      <c r="N94"/>
      <c r="P94" s="4" t="s">
        <v>50</v>
      </c>
      <c r="Q94">
        <f>IF(AND(ISNUMBER(G94),ISNUMBER(H94),ISNUMBER(I94)), DATE(G94,H94,I94)-DATE(G94,1,1)+1, "")</f>
        <v>298</v>
      </c>
      <c r="R94" s="11"/>
    </row>
    <row r="95" spans="1:18" x14ac:dyDescent="0.3">
      <c r="A95" s="4" t="s">
        <v>44</v>
      </c>
      <c r="B95" s="4" t="s">
        <v>13</v>
      </c>
      <c r="C95" s="9" t="s">
        <v>43</v>
      </c>
      <c r="E95" s="9">
        <v>45</v>
      </c>
      <c r="F95" s="6">
        <f t="shared" si="2"/>
        <v>45955</v>
      </c>
      <c r="G95" s="4">
        <v>2025</v>
      </c>
      <c r="H95" s="4">
        <v>10</v>
      </c>
      <c r="I95" s="4">
        <v>25</v>
      </c>
      <c r="J95" s="10">
        <v>1135</v>
      </c>
      <c r="K95" s="10">
        <v>500</v>
      </c>
      <c r="M95">
        <v>12.7</v>
      </c>
      <c r="N95"/>
      <c r="P95" s="4" t="s">
        <v>50</v>
      </c>
      <c r="Q95">
        <f>IF(AND(ISNUMBER(G95),ISNUMBER(H95),ISNUMBER(I95)), DATE(G95,H95,I95)-DATE(G95,1,1)+1, "")</f>
        <v>298</v>
      </c>
      <c r="R95" s="11">
        <f t="shared" si="3"/>
        <v>0</v>
      </c>
    </row>
    <row r="96" spans="1:18" x14ac:dyDescent="0.3">
      <c r="A96" s="4" t="s">
        <v>44</v>
      </c>
      <c r="B96" s="4" t="s">
        <v>13</v>
      </c>
      <c r="C96" s="9" t="s">
        <v>43</v>
      </c>
      <c r="E96" s="9">
        <v>47</v>
      </c>
      <c r="F96" s="6">
        <f t="shared" si="2"/>
        <v>45955</v>
      </c>
      <c r="G96" s="4">
        <v>2025</v>
      </c>
      <c r="H96" s="4">
        <v>10</v>
      </c>
      <c r="I96" s="4">
        <v>25</v>
      </c>
      <c r="J96" s="10">
        <v>1148</v>
      </c>
      <c r="K96" s="10">
        <v>1250</v>
      </c>
      <c r="M96">
        <v>12.7</v>
      </c>
      <c r="N96"/>
      <c r="P96" s="4" t="s">
        <v>50</v>
      </c>
      <c r="Q96">
        <f>IF(AND(ISNUMBER(G96),ISNUMBER(H96),ISNUMBER(I96)), DATE(G96,H96,I96)-DATE(G96,1,1)+1, "")</f>
        <v>298</v>
      </c>
      <c r="R96" s="11">
        <f t="shared" si="3"/>
        <v>0</v>
      </c>
    </row>
    <row r="97" spans="1:18" x14ac:dyDescent="0.3">
      <c r="A97" s="4" t="s">
        <v>44</v>
      </c>
      <c r="B97" s="4" t="s">
        <v>13</v>
      </c>
      <c r="C97" s="9" t="s">
        <v>43</v>
      </c>
      <c r="E97" s="9">
        <v>48</v>
      </c>
      <c r="F97" s="6">
        <f t="shared" si="2"/>
        <v>45955</v>
      </c>
      <c r="G97" s="4">
        <v>2025</v>
      </c>
      <c r="H97" s="4">
        <v>10</v>
      </c>
      <c r="I97" s="4">
        <v>25</v>
      </c>
      <c r="J97" s="10">
        <v>1152</v>
      </c>
      <c r="K97" s="10">
        <v>100</v>
      </c>
      <c r="M97">
        <v>12.7</v>
      </c>
      <c r="N97"/>
      <c r="P97" s="4" t="s">
        <v>50</v>
      </c>
      <c r="Q97">
        <f>IF(AND(ISNUMBER(G97),ISNUMBER(H97),ISNUMBER(I97)), DATE(G97,H97,I97)-DATE(G97,1,1)+1, "")</f>
        <v>298</v>
      </c>
      <c r="R97" s="11">
        <f t="shared" si="3"/>
        <v>0</v>
      </c>
    </row>
    <row r="98" spans="1:18" x14ac:dyDescent="0.3">
      <c r="A98" s="4" t="s">
        <v>44</v>
      </c>
      <c r="B98" s="4" t="s">
        <v>13</v>
      </c>
      <c r="C98" s="4" t="s">
        <v>46</v>
      </c>
      <c r="E98" s="9">
        <v>60</v>
      </c>
      <c r="F98" s="6">
        <f t="shared" si="2"/>
        <v>45945</v>
      </c>
      <c r="G98" s="4">
        <v>2025</v>
      </c>
      <c r="H98" s="4">
        <v>10</v>
      </c>
      <c r="I98" s="4">
        <v>15</v>
      </c>
      <c r="J98" s="10">
        <v>1313</v>
      </c>
      <c r="K98" s="10">
        <v>150</v>
      </c>
      <c r="M98">
        <v>15.2</v>
      </c>
      <c r="P98" s="4" t="s">
        <v>49</v>
      </c>
      <c r="Q98">
        <f>IF(AND(ISNUMBER(G98),ISNUMBER(H98),ISNUMBER(I98)), DATE(G98,H98,I98)-DATE(G98,1,1)+1, "")</f>
        <v>288</v>
      </c>
      <c r="R98" s="11">
        <f>13*100+MINUTE(J98)</f>
        <v>1300</v>
      </c>
    </row>
    <row r="99" spans="1:18" x14ac:dyDescent="0.3">
      <c r="A99" s="4" t="s">
        <v>44</v>
      </c>
      <c r="B99" s="4" t="s">
        <v>13</v>
      </c>
      <c r="C99" s="4" t="s">
        <v>46</v>
      </c>
      <c r="E99" s="9">
        <v>61</v>
      </c>
      <c r="F99" s="6">
        <f t="shared" si="2"/>
        <v>45945</v>
      </c>
      <c r="G99" s="4">
        <v>2025</v>
      </c>
      <c r="H99" s="4">
        <v>10</v>
      </c>
      <c r="I99" s="4">
        <v>15</v>
      </c>
      <c r="J99" s="10">
        <v>1323</v>
      </c>
      <c r="K99" s="10">
        <f>350+300+450+200+450</f>
        <v>1750</v>
      </c>
      <c r="M99">
        <v>14.5</v>
      </c>
      <c r="P99" s="4" t="s">
        <v>49</v>
      </c>
      <c r="Q99">
        <f>IF(AND(ISNUMBER(G99),ISNUMBER(H99),ISNUMBER(I99)), DATE(G99,H99,I99)-DATE(G99,1,1)+1, "")</f>
        <v>288</v>
      </c>
      <c r="R99" s="11">
        <f t="shared" ref="R99:R103" si="4">13*100+MINUTE(J99)</f>
        <v>1300</v>
      </c>
    </row>
    <row r="100" spans="1:18" x14ac:dyDescent="0.3">
      <c r="A100" s="4" t="s">
        <v>44</v>
      </c>
      <c r="B100" s="4" t="s">
        <v>13</v>
      </c>
      <c r="C100" s="4" t="s">
        <v>46</v>
      </c>
      <c r="E100" s="9">
        <v>62</v>
      </c>
      <c r="F100" s="6">
        <f t="shared" si="2"/>
        <v>45945</v>
      </c>
      <c r="G100" s="4">
        <v>2025</v>
      </c>
      <c r="H100" s="4">
        <v>10</v>
      </c>
      <c r="I100" s="4">
        <v>15</v>
      </c>
      <c r="J100" s="10">
        <v>1326</v>
      </c>
      <c r="K100" s="10">
        <f>900+350+600+250</f>
        <v>2100</v>
      </c>
      <c r="M100">
        <v>14.5</v>
      </c>
      <c r="P100" s="4" t="s">
        <v>49</v>
      </c>
      <c r="Q100">
        <f>IF(AND(ISNUMBER(G100),ISNUMBER(H100),ISNUMBER(I100)), DATE(G100,H100,I100)-DATE(G100,1,1)+1, "")</f>
        <v>288</v>
      </c>
      <c r="R100" s="11">
        <f t="shared" si="4"/>
        <v>1300</v>
      </c>
    </row>
    <row r="101" spans="1:18" x14ac:dyDescent="0.3">
      <c r="A101" s="4" t="s">
        <v>44</v>
      </c>
      <c r="B101" s="4" t="s">
        <v>13</v>
      </c>
      <c r="C101" s="4" t="s">
        <v>46</v>
      </c>
      <c r="E101" s="9">
        <v>63</v>
      </c>
      <c r="F101" s="6">
        <f t="shared" si="2"/>
        <v>45945</v>
      </c>
      <c r="G101" s="4">
        <v>2025</v>
      </c>
      <c r="H101" s="4">
        <v>10</v>
      </c>
      <c r="I101" s="4">
        <v>15</v>
      </c>
      <c r="J101" s="10">
        <v>1329</v>
      </c>
      <c r="K101" s="10">
        <f>150+300+200+200</f>
        <v>850</v>
      </c>
      <c r="M101">
        <v>14.5</v>
      </c>
      <c r="P101" s="4" t="s">
        <v>49</v>
      </c>
      <c r="Q101">
        <f>IF(AND(ISNUMBER(G101),ISNUMBER(H101),ISNUMBER(I101)), DATE(G101,H101,I101)-DATE(G101,1,1)+1, "")</f>
        <v>288</v>
      </c>
      <c r="R101" s="11">
        <f t="shared" si="4"/>
        <v>1300</v>
      </c>
    </row>
    <row r="102" spans="1:18" x14ac:dyDescent="0.3">
      <c r="A102" s="4" t="s">
        <v>44</v>
      </c>
      <c r="B102" s="4" t="s">
        <v>13</v>
      </c>
      <c r="C102" s="4" t="s">
        <v>46</v>
      </c>
      <c r="E102" s="9">
        <v>65</v>
      </c>
      <c r="F102" s="6">
        <f t="shared" si="2"/>
        <v>45945</v>
      </c>
      <c r="G102" s="4">
        <v>2025</v>
      </c>
      <c r="H102" s="4">
        <v>10</v>
      </c>
      <c r="I102" s="4">
        <v>15</v>
      </c>
      <c r="J102" s="10">
        <v>1337</v>
      </c>
      <c r="K102" s="10">
        <f>10+500+400+150</f>
        <v>1060</v>
      </c>
      <c r="M102">
        <v>14.5</v>
      </c>
      <c r="P102" s="4" t="s">
        <v>49</v>
      </c>
      <c r="Q102">
        <f>IF(AND(ISNUMBER(G102),ISNUMBER(H102),ISNUMBER(I102)), DATE(G102,H102,I102)-DATE(G102,1,1)+1, "")</f>
        <v>288</v>
      </c>
      <c r="R102" s="11">
        <f t="shared" si="4"/>
        <v>1300</v>
      </c>
    </row>
    <row r="103" spans="1:18" x14ac:dyDescent="0.3">
      <c r="A103" s="4" t="s">
        <v>44</v>
      </c>
      <c r="B103" s="4" t="s">
        <v>13</v>
      </c>
      <c r="C103" s="4" t="s">
        <v>46</v>
      </c>
      <c r="E103" s="9">
        <v>68</v>
      </c>
      <c r="F103" s="6">
        <f t="shared" si="2"/>
        <v>45945</v>
      </c>
      <c r="G103" s="4">
        <v>2025</v>
      </c>
      <c r="H103" s="4">
        <v>10</v>
      </c>
      <c r="I103" s="4">
        <v>15</v>
      </c>
      <c r="J103" s="10">
        <v>1350</v>
      </c>
      <c r="K103" s="10">
        <v>350</v>
      </c>
      <c r="M103">
        <v>14.5</v>
      </c>
      <c r="P103" s="4" t="s">
        <v>49</v>
      </c>
      <c r="Q103">
        <f>IF(AND(ISNUMBER(G103),ISNUMBER(H103),ISNUMBER(I103)), DATE(G103,H103,I103)-DATE(G103,1,1)+1, "")</f>
        <v>288</v>
      </c>
      <c r="R103" s="11">
        <f t="shared" si="4"/>
        <v>1300</v>
      </c>
    </row>
    <row r="104" spans="1:18" x14ac:dyDescent="0.3">
      <c r="A104" s="4" t="s">
        <v>44</v>
      </c>
      <c r="B104" s="4" t="s">
        <v>13</v>
      </c>
      <c r="C104" s="4" t="s">
        <v>46</v>
      </c>
      <c r="E104" s="9">
        <v>70</v>
      </c>
      <c r="F104" s="6">
        <f t="shared" si="2"/>
        <v>45945</v>
      </c>
      <c r="G104" s="4">
        <v>2025</v>
      </c>
      <c r="H104" s="4">
        <v>10</v>
      </c>
      <c r="I104" s="4">
        <v>15</v>
      </c>
      <c r="J104" s="10">
        <v>1400</v>
      </c>
      <c r="K104" s="10">
        <v>50</v>
      </c>
      <c r="M104">
        <v>14.5</v>
      </c>
      <c r="P104" s="4" t="s">
        <v>49</v>
      </c>
      <c r="Q104">
        <f>IF(AND(ISNUMBER(G104),ISNUMBER(H104),ISNUMBER(I104)), DATE(G104,H104,I104)-DATE(G104,1,1)+1, "")</f>
        <v>288</v>
      </c>
      <c r="R104" s="11">
        <f t="shared" ref="R98:R110" si="5">14*100+MINUTE(J104)</f>
        <v>1400</v>
      </c>
    </row>
    <row r="105" spans="1:18" x14ac:dyDescent="0.3">
      <c r="A105" s="4" t="s">
        <v>44</v>
      </c>
      <c r="B105" s="4" t="s">
        <v>13</v>
      </c>
      <c r="C105" s="4" t="s">
        <v>46</v>
      </c>
      <c r="E105" s="9">
        <v>71</v>
      </c>
      <c r="F105" s="6">
        <f t="shared" si="2"/>
        <v>45945</v>
      </c>
      <c r="G105" s="4">
        <v>2025</v>
      </c>
      <c r="H105" s="4">
        <v>10</v>
      </c>
      <c r="I105" s="4">
        <v>15</v>
      </c>
      <c r="J105" s="10">
        <v>1403</v>
      </c>
      <c r="K105" s="10">
        <v>50</v>
      </c>
      <c r="M105">
        <v>14.5</v>
      </c>
      <c r="P105" s="4" t="s">
        <v>49</v>
      </c>
      <c r="Q105">
        <f>IF(AND(ISNUMBER(G105),ISNUMBER(H105),ISNUMBER(I105)), DATE(G105,H105,I105)-DATE(G105,1,1)+1, "")</f>
        <v>288</v>
      </c>
      <c r="R105" s="11">
        <f t="shared" si="5"/>
        <v>1400</v>
      </c>
    </row>
    <row r="106" spans="1:18" x14ac:dyDescent="0.3">
      <c r="A106" s="4" t="s">
        <v>44</v>
      </c>
      <c r="B106" s="4" t="s">
        <v>13</v>
      </c>
      <c r="C106" s="4" t="s">
        <v>46</v>
      </c>
      <c r="E106" s="9">
        <v>72</v>
      </c>
      <c r="F106" s="6">
        <f t="shared" si="2"/>
        <v>45945</v>
      </c>
      <c r="G106" s="4">
        <v>2025</v>
      </c>
      <c r="H106" s="4">
        <v>10</v>
      </c>
      <c r="I106" s="4">
        <v>15</v>
      </c>
      <c r="J106" s="10">
        <v>1406</v>
      </c>
      <c r="K106" s="10">
        <f>150+400+250</f>
        <v>800</v>
      </c>
      <c r="M106">
        <v>14.5</v>
      </c>
      <c r="P106" s="4" t="s">
        <v>49</v>
      </c>
      <c r="Q106">
        <f>IF(AND(ISNUMBER(G106),ISNUMBER(H106),ISNUMBER(I106)), DATE(G106,H106,I106)-DATE(G106,1,1)+1, "")</f>
        <v>288</v>
      </c>
      <c r="R106" s="11">
        <f t="shared" si="5"/>
        <v>1400</v>
      </c>
    </row>
    <row r="107" spans="1:18" x14ac:dyDescent="0.3">
      <c r="A107" s="4" t="s">
        <v>44</v>
      </c>
      <c r="B107" s="4" t="s">
        <v>13</v>
      </c>
      <c r="C107" s="4" t="s">
        <v>46</v>
      </c>
      <c r="E107" s="9">
        <v>73</v>
      </c>
      <c r="F107" s="6">
        <f t="shared" si="2"/>
        <v>45945</v>
      </c>
      <c r="G107" s="4">
        <v>2025</v>
      </c>
      <c r="H107" s="4">
        <v>10</v>
      </c>
      <c r="I107" s="4">
        <v>15</v>
      </c>
      <c r="J107" s="10">
        <v>1410</v>
      </c>
      <c r="K107" s="10">
        <f>700+300+100+700+200</f>
        <v>2000</v>
      </c>
      <c r="M107">
        <v>14.5</v>
      </c>
      <c r="P107" s="4" t="s">
        <v>49</v>
      </c>
      <c r="Q107">
        <f>IF(AND(ISNUMBER(G107),ISNUMBER(H107),ISNUMBER(I107)), DATE(G107,H107,I107)-DATE(G107,1,1)+1, "")</f>
        <v>288</v>
      </c>
      <c r="R107" s="11">
        <f t="shared" si="5"/>
        <v>1400</v>
      </c>
    </row>
    <row r="108" spans="1:18" x14ac:dyDescent="0.3">
      <c r="A108" s="4" t="s">
        <v>44</v>
      </c>
      <c r="B108" s="4" t="s">
        <v>13</v>
      </c>
      <c r="C108" s="4" t="s">
        <v>46</v>
      </c>
      <c r="E108" s="9">
        <v>74</v>
      </c>
      <c r="F108" s="6">
        <f t="shared" si="2"/>
        <v>45945</v>
      </c>
      <c r="G108" s="4">
        <v>2025</v>
      </c>
      <c r="H108" s="4">
        <v>10</v>
      </c>
      <c r="I108" s="4">
        <v>15</v>
      </c>
      <c r="J108" s="10">
        <v>1417</v>
      </c>
      <c r="K108" s="10">
        <v>150</v>
      </c>
      <c r="M108">
        <v>14.5</v>
      </c>
      <c r="P108" s="4" t="s">
        <v>49</v>
      </c>
      <c r="Q108">
        <f>IF(AND(ISNUMBER(G108),ISNUMBER(H108),ISNUMBER(I108)), DATE(G108,H108,I108)-DATE(G108,1,1)+1, "")</f>
        <v>288</v>
      </c>
      <c r="R108" s="11">
        <f t="shared" si="5"/>
        <v>1400</v>
      </c>
    </row>
    <row r="109" spans="1:18" x14ac:dyDescent="0.3">
      <c r="A109" s="4" t="s">
        <v>44</v>
      </c>
      <c r="B109" s="4" t="s">
        <v>13</v>
      </c>
      <c r="C109" s="4" t="s">
        <v>46</v>
      </c>
      <c r="E109" s="9">
        <v>58</v>
      </c>
      <c r="F109" s="6">
        <f t="shared" si="2"/>
        <v>45950</v>
      </c>
      <c r="G109" s="4">
        <v>2025</v>
      </c>
      <c r="H109" s="4">
        <v>10</v>
      </c>
      <c r="I109" s="4">
        <v>20</v>
      </c>
      <c r="J109" s="10">
        <v>1345</v>
      </c>
      <c r="K109" s="10">
        <v>450</v>
      </c>
      <c r="M109">
        <v>13.4</v>
      </c>
      <c r="P109" s="4" t="s">
        <v>50</v>
      </c>
      <c r="Q109">
        <f>IF(AND(ISNUMBER(G109),ISNUMBER(H109),ISNUMBER(I109)), DATE(G109,H109,I109)-DATE(G109,1,1)+1, "")</f>
        <v>293</v>
      </c>
      <c r="R109" s="11">
        <f t="shared" ref="R109:R110" si="6">13*100+MINUTE(J109)</f>
        <v>1300</v>
      </c>
    </row>
    <row r="110" spans="1:18" x14ac:dyDescent="0.3">
      <c r="A110" s="4" t="s">
        <v>44</v>
      </c>
      <c r="B110" s="4" t="s">
        <v>13</v>
      </c>
      <c r="C110" s="4" t="s">
        <v>46</v>
      </c>
      <c r="E110" s="9">
        <v>59</v>
      </c>
      <c r="F110" s="6">
        <f t="shared" si="2"/>
        <v>45950</v>
      </c>
      <c r="G110" s="4">
        <v>2025</v>
      </c>
      <c r="H110" s="4">
        <v>10</v>
      </c>
      <c r="I110" s="4">
        <v>20</v>
      </c>
      <c r="J110" s="10">
        <v>1352</v>
      </c>
      <c r="K110" s="10">
        <v>50</v>
      </c>
      <c r="M110">
        <v>13.4</v>
      </c>
      <c r="P110" s="4" t="s">
        <v>50</v>
      </c>
      <c r="Q110">
        <f>IF(AND(ISNUMBER(G110),ISNUMBER(H110),ISNUMBER(I110)), DATE(G110,H110,I110)-DATE(G110,1,1)+1, "")</f>
        <v>293</v>
      </c>
      <c r="R110" s="11">
        <f t="shared" si="6"/>
        <v>1300</v>
      </c>
    </row>
    <row r="111" spans="1:18" x14ac:dyDescent="0.3">
      <c r="A111" s="4" t="s">
        <v>44</v>
      </c>
      <c r="B111" s="4" t="s">
        <v>13</v>
      </c>
      <c r="C111" s="4" t="s">
        <v>46</v>
      </c>
      <c r="E111" s="9">
        <v>60</v>
      </c>
      <c r="F111" s="6">
        <f t="shared" si="2"/>
        <v>45950</v>
      </c>
      <c r="G111" s="4">
        <v>2025</v>
      </c>
      <c r="H111" s="4">
        <v>10</v>
      </c>
      <c r="I111" s="4">
        <v>20</v>
      </c>
      <c r="J111" s="10">
        <v>1400</v>
      </c>
      <c r="K111" s="10">
        <f>450+50+350+200+150+600</f>
        <v>1800</v>
      </c>
      <c r="M111">
        <v>13.4</v>
      </c>
      <c r="P111" s="4" t="s">
        <v>50</v>
      </c>
      <c r="Q111">
        <f>IF(AND(ISNUMBER(G111),ISNUMBER(H111),ISNUMBER(I111)), DATE(G111,H111,I111)-DATE(G111,1,1)+1, "")</f>
        <v>293</v>
      </c>
      <c r="R111" s="11">
        <f>14*100+MINUTE(J111)</f>
        <v>1400</v>
      </c>
    </row>
    <row r="112" spans="1:18" x14ac:dyDescent="0.3">
      <c r="A112" s="4" t="s">
        <v>44</v>
      </c>
      <c r="B112" s="4" t="s">
        <v>13</v>
      </c>
      <c r="C112" s="4" t="s">
        <v>46</v>
      </c>
      <c r="E112" s="9">
        <v>61</v>
      </c>
      <c r="F112" s="6">
        <f t="shared" si="2"/>
        <v>45950</v>
      </c>
      <c r="G112" s="4">
        <v>2025</v>
      </c>
      <c r="H112" s="4">
        <v>10</v>
      </c>
      <c r="I112" s="4">
        <v>20</v>
      </c>
      <c r="J112" s="10">
        <v>1407</v>
      </c>
      <c r="K112" s="10">
        <f>650+200+350+500+2100</f>
        <v>3800</v>
      </c>
      <c r="M112">
        <v>13.4</v>
      </c>
      <c r="P112" s="4" t="s">
        <v>50</v>
      </c>
      <c r="Q112">
        <f>IF(AND(ISNUMBER(G112),ISNUMBER(H112),ISNUMBER(I112)), DATE(G112,H112,I112)-DATE(G112,1,1)+1, "")</f>
        <v>293</v>
      </c>
      <c r="R112" s="11">
        <f t="shared" ref="R112:R122" si="7">14*100+MINUTE(J112)</f>
        <v>1400</v>
      </c>
    </row>
    <row r="113" spans="1:18" x14ac:dyDescent="0.3">
      <c r="A113" s="4" t="s">
        <v>44</v>
      </c>
      <c r="B113" s="4" t="s">
        <v>13</v>
      </c>
      <c r="C113" s="4" t="s">
        <v>46</v>
      </c>
      <c r="E113" s="9">
        <v>62</v>
      </c>
      <c r="F113" s="6">
        <f t="shared" si="2"/>
        <v>45950</v>
      </c>
      <c r="G113" s="4">
        <v>2025</v>
      </c>
      <c r="H113" s="4">
        <v>10</v>
      </c>
      <c r="I113" s="4">
        <v>20</v>
      </c>
      <c r="J113" s="10">
        <v>1411</v>
      </c>
      <c r="K113" s="10">
        <f>800+150+250+650</f>
        <v>1850</v>
      </c>
      <c r="M113">
        <v>13.4</v>
      </c>
      <c r="P113" s="4" t="s">
        <v>50</v>
      </c>
      <c r="Q113">
        <f>IF(AND(ISNUMBER(G113),ISNUMBER(H113),ISNUMBER(I113)), DATE(G113,H113,I113)-DATE(G113,1,1)+1, "")</f>
        <v>293</v>
      </c>
      <c r="R113" s="11">
        <f t="shared" si="7"/>
        <v>1400</v>
      </c>
    </row>
    <row r="114" spans="1:18" x14ac:dyDescent="0.3">
      <c r="A114" s="4" t="s">
        <v>44</v>
      </c>
      <c r="B114" s="4" t="s">
        <v>13</v>
      </c>
      <c r="C114" s="4" t="s">
        <v>46</v>
      </c>
      <c r="E114" s="9">
        <v>63</v>
      </c>
      <c r="F114" s="6">
        <f t="shared" si="2"/>
        <v>45950</v>
      </c>
      <c r="G114" s="4">
        <v>2025</v>
      </c>
      <c r="H114" s="4">
        <v>10</v>
      </c>
      <c r="I114" s="4">
        <v>20</v>
      </c>
      <c r="J114" s="10">
        <v>1414</v>
      </c>
      <c r="K114" s="10">
        <f>700+500+450</f>
        <v>1650</v>
      </c>
      <c r="M114">
        <v>13.4</v>
      </c>
      <c r="P114" s="4" t="s">
        <v>50</v>
      </c>
      <c r="Q114">
        <f>IF(AND(ISNUMBER(G114),ISNUMBER(H114),ISNUMBER(I114)), DATE(G114,H114,I114)-DATE(G114,1,1)+1, "")</f>
        <v>293</v>
      </c>
      <c r="R114" s="11">
        <f t="shared" si="7"/>
        <v>1400</v>
      </c>
    </row>
    <row r="115" spans="1:18" x14ac:dyDescent="0.3">
      <c r="A115" s="4" t="s">
        <v>44</v>
      </c>
      <c r="B115" s="4" t="s">
        <v>13</v>
      </c>
      <c r="C115" s="4" t="s">
        <v>46</v>
      </c>
      <c r="E115" s="9">
        <v>64</v>
      </c>
      <c r="F115" s="6">
        <f t="shared" si="2"/>
        <v>45950</v>
      </c>
      <c r="G115" s="4">
        <v>2025</v>
      </c>
      <c r="H115" s="4">
        <v>10</v>
      </c>
      <c r="I115" s="4">
        <v>20</v>
      </c>
      <c r="J115" s="10">
        <v>1417</v>
      </c>
      <c r="K115" s="10">
        <v>200</v>
      </c>
      <c r="M115">
        <v>13.4</v>
      </c>
      <c r="P115" s="4" t="s">
        <v>50</v>
      </c>
      <c r="Q115">
        <f>IF(AND(ISNUMBER(G115),ISNUMBER(H115),ISNUMBER(I115)), DATE(G115,H115,I115)-DATE(G115,1,1)+1, "")</f>
        <v>293</v>
      </c>
      <c r="R115" s="11">
        <f t="shared" si="7"/>
        <v>1400</v>
      </c>
    </row>
    <row r="116" spans="1:18" x14ac:dyDescent="0.3">
      <c r="A116" s="4" t="s">
        <v>44</v>
      </c>
      <c r="B116" s="4" t="s">
        <v>13</v>
      </c>
      <c r="C116" s="4" t="s">
        <v>46</v>
      </c>
      <c r="E116" s="9">
        <v>65</v>
      </c>
      <c r="F116" s="6">
        <f t="shared" si="2"/>
        <v>45950</v>
      </c>
      <c r="G116" s="4">
        <v>2025</v>
      </c>
      <c r="H116" s="4">
        <v>10</v>
      </c>
      <c r="I116" s="4">
        <v>20</v>
      </c>
      <c r="J116" s="10">
        <v>1421</v>
      </c>
      <c r="K116" s="10">
        <v>140</v>
      </c>
      <c r="M116">
        <v>13.4</v>
      </c>
      <c r="P116" s="4" t="s">
        <v>50</v>
      </c>
      <c r="Q116">
        <f>IF(AND(ISNUMBER(G116),ISNUMBER(H116),ISNUMBER(I116)), DATE(G116,H116,I116)-DATE(G116,1,1)+1, "")</f>
        <v>293</v>
      </c>
      <c r="R116" s="11">
        <f t="shared" si="7"/>
        <v>1400</v>
      </c>
    </row>
    <row r="117" spans="1:18" x14ac:dyDescent="0.3">
      <c r="A117" s="4" t="s">
        <v>44</v>
      </c>
      <c r="B117" s="4" t="s">
        <v>13</v>
      </c>
      <c r="C117" s="4" t="s">
        <v>46</v>
      </c>
      <c r="E117" s="9">
        <v>66</v>
      </c>
      <c r="F117" s="6">
        <f t="shared" si="2"/>
        <v>45950</v>
      </c>
      <c r="G117" s="4">
        <v>2025</v>
      </c>
      <c r="H117" s="4">
        <v>10</v>
      </c>
      <c r="I117" s="4">
        <v>20</v>
      </c>
      <c r="J117" s="10">
        <v>1423</v>
      </c>
      <c r="K117" s="10">
        <f>700+150+1200+300+300</f>
        <v>2650</v>
      </c>
      <c r="M117">
        <v>13.4</v>
      </c>
      <c r="P117" s="4" t="s">
        <v>50</v>
      </c>
      <c r="Q117">
        <f>IF(AND(ISNUMBER(G117),ISNUMBER(H117),ISNUMBER(I117)), DATE(G117,H117,I117)-DATE(G117,1,1)+1, "")</f>
        <v>293</v>
      </c>
      <c r="R117" s="11">
        <f t="shared" si="7"/>
        <v>1400</v>
      </c>
    </row>
    <row r="118" spans="1:18" x14ac:dyDescent="0.3">
      <c r="A118" s="4" t="s">
        <v>44</v>
      </c>
      <c r="B118" s="4" t="s">
        <v>13</v>
      </c>
      <c r="C118" s="4" t="s">
        <v>46</v>
      </c>
      <c r="E118" s="9">
        <v>68</v>
      </c>
      <c r="F118" s="6">
        <f t="shared" si="2"/>
        <v>45950</v>
      </c>
      <c r="G118" s="4">
        <v>2025</v>
      </c>
      <c r="H118" s="4">
        <v>10</v>
      </c>
      <c r="I118" s="4">
        <v>20</v>
      </c>
      <c r="J118" s="10">
        <v>1435</v>
      </c>
      <c r="K118" s="10">
        <v>800</v>
      </c>
      <c r="M118">
        <v>13.4</v>
      </c>
      <c r="P118" s="4" t="s">
        <v>50</v>
      </c>
      <c r="Q118">
        <f>IF(AND(ISNUMBER(G118),ISNUMBER(H118),ISNUMBER(I118)), DATE(G118,H118,I118)-DATE(G118,1,1)+1, "")</f>
        <v>293</v>
      </c>
      <c r="R118" s="11">
        <f t="shared" si="7"/>
        <v>1400</v>
      </c>
    </row>
    <row r="119" spans="1:18" x14ac:dyDescent="0.3">
      <c r="A119" s="4" t="s">
        <v>44</v>
      </c>
      <c r="B119" s="4" t="s">
        <v>13</v>
      </c>
      <c r="C119" s="4" t="s">
        <v>46</v>
      </c>
      <c r="E119" s="9">
        <v>70</v>
      </c>
      <c r="F119" s="6">
        <f t="shared" si="2"/>
        <v>45950</v>
      </c>
      <c r="G119" s="4">
        <v>2025</v>
      </c>
      <c r="H119" s="4">
        <v>10</v>
      </c>
      <c r="I119" s="4">
        <v>20</v>
      </c>
      <c r="J119" s="10">
        <v>1444</v>
      </c>
      <c r="K119" s="10">
        <v>200</v>
      </c>
      <c r="M119">
        <v>13.4</v>
      </c>
      <c r="P119" s="4" t="s">
        <v>50</v>
      </c>
      <c r="Q119">
        <f>IF(AND(ISNUMBER(G119),ISNUMBER(H119),ISNUMBER(I119)), DATE(G119,H119,I119)-DATE(G119,1,1)+1, "")</f>
        <v>293</v>
      </c>
      <c r="R119" s="11">
        <f t="shared" si="7"/>
        <v>1400</v>
      </c>
    </row>
    <row r="120" spans="1:18" x14ac:dyDescent="0.3">
      <c r="A120" s="4" t="s">
        <v>44</v>
      </c>
      <c r="B120" s="4" t="s">
        <v>13</v>
      </c>
      <c r="C120" s="4" t="s">
        <v>46</v>
      </c>
      <c r="E120" s="9">
        <v>71</v>
      </c>
      <c r="F120" s="6">
        <f t="shared" si="2"/>
        <v>45950</v>
      </c>
      <c r="G120" s="4">
        <v>2025</v>
      </c>
      <c r="H120" s="4">
        <v>10</v>
      </c>
      <c r="I120" s="4">
        <v>20</v>
      </c>
      <c r="J120" s="10">
        <v>1452</v>
      </c>
      <c r="K120" s="10">
        <v>250</v>
      </c>
      <c r="M120">
        <v>13.4</v>
      </c>
      <c r="P120" s="4" t="s">
        <v>50</v>
      </c>
      <c r="Q120">
        <f>IF(AND(ISNUMBER(G120),ISNUMBER(H120),ISNUMBER(I120)), DATE(G120,H120,I120)-DATE(G120,1,1)+1, "")</f>
        <v>293</v>
      </c>
      <c r="R120" s="11">
        <f t="shared" si="7"/>
        <v>1400</v>
      </c>
    </row>
    <row r="121" spans="1:18" x14ac:dyDescent="0.3">
      <c r="A121" s="4" t="s">
        <v>44</v>
      </c>
      <c r="B121" s="4" t="s">
        <v>13</v>
      </c>
      <c r="C121" s="4" t="s">
        <v>46</v>
      </c>
      <c r="E121" s="9">
        <v>72</v>
      </c>
      <c r="F121" s="6">
        <f t="shared" si="2"/>
        <v>45950</v>
      </c>
      <c r="G121" s="4">
        <v>2025</v>
      </c>
      <c r="H121" s="4">
        <v>10</v>
      </c>
      <c r="I121" s="4">
        <v>20</v>
      </c>
      <c r="J121" s="10">
        <v>1454</v>
      </c>
      <c r="K121" s="10">
        <f>20+200+700+450</f>
        <v>1370</v>
      </c>
      <c r="M121">
        <v>13.4</v>
      </c>
      <c r="P121" s="4" t="s">
        <v>50</v>
      </c>
      <c r="Q121">
        <f>IF(AND(ISNUMBER(G121),ISNUMBER(H121),ISNUMBER(I121)), DATE(G121,H121,I121)-DATE(G121,1,1)+1, "")</f>
        <v>293</v>
      </c>
      <c r="R121" s="11">
        <f t="shared" si="7"/>
        <v>1400</v>
      </c>
    </row>
    <row r="122" spans="1:18" x14ac:dyDescent="0.3">
      <c r="A122" s="4" t="s">
        <v>44</v>
      </c>
      <c r="B122" s="4" t="s">
        <v>13</v>
      </c>
      <c r="C122" s="4" t="s">
        <v>46</v>
      </c>
      <c r="E122" s="9">
        <v>73</v>
      </c>
      <c r="F122" s="6">
        <f t="shared" si="2"/>
        <v>45950</v>
      </c>
      <c r="G122" s="4">
        <v>2025</v>
      </c>
      <c r="H122" s="4">
        <v>10</v>
      </c>
      <c r="I122" s="4">
        <v>20</v>
      </c>
      <c r="J122" s="10">
        <v>1458</v>
      </c>
      <c r="K122" s="10">
        <f>550+500+150+800+1050</f>
        <v>3050</v>
      </c>
      <c r="M122">
        <v>13.4</v>
      </c>
      <c r="P122" s="4" t="s">
        <v>50</v>
      </c>
      <c r="Q122">
        <f>IF(AND(ISNUMBER(G122),ISNUMBER(H122),ISNUMBER(I122)), DATE(G122,H122,I122)-DATE(G122,1,1)+1, "")</f>
        <v>293</v>
      </c>
      <c r="R122" s="11">
        <f t="shared" si="7"/>
        <v>1400</v>
      </c>
    </row>
    <row r="123" spans="1:18" x14ac:dyDescent="0.3">
      <c r="A123" s="4" t="s">
        <v>44</v>
      </c>
      <c r="B123" s="4" t="s">
        <v>13</v>
      </c>
      <c r="C123" s="4" t="s">
        <v>46</v>
      </c>
      <c r="E123" s="9">
        <v>58</v>
      </c>
      <c r="F123" s="6">
        <f t="shared" si="2"/>
        <v>45955</v>
      </c>
      <c r="G123" s="4">
        <v>2025</v>
      </c>
      <c r="H123" s="4">
        <v>10</v>
      </c>
      <c r="I123" s="4">
        <v>25</v>
      </c>
      <c r="J123" s="10">
        <v>1233</v>
      </c>
      <c r="K123" s="10">
        <v>550</v>
      </c>
      <c r="M123">
        <v>13</v>
      </c>
      <c r="P123" s="4" t="s">
        <v>50</v>
      </c>
      <c r="Q123">
        <f>IF(AND(ISNUMBER(G123),ISNUMBER(H123),ISNUMBER(I123)), DATE(G123,H123,I123)-DATE(G123,1,1)+1, "")</f>
        <v>298</v>
      </c>
      <c r="R123" s="11">
        <f t="shared" si="3"/>
        <v>0</v>
      </c>
    </row>
    <row r="124" spans="1:18" x14ac:dyDescent="0.3">
      <c r="A124" s="4" t="s">
        <v>44</v>
      </c>
      <c r="B124" s="4" t="s">
        <v>13</v>
      </c>
      <c r="C124" s="4" t="s">
        <v>46</v>
      </c>
      <c r="E124" s="9">
        <v>60</v>
      </c>
      <c r="F124" s="6">
        <f t="shared" si="2"/>
        <v>45955</v>
      </c>
      <c r="G124" s="4">
        <v>2025</v>
      </c>
      <c r="H124" s="4">
        <v>10</v>
      </c>
      <c r="I124" s="4">
        <v>25</v>
      </c>
      <c r="J124" s="10">
        <v>1245</v>
      </c>
      <c r="K124" s="10">
        <f>350+150+150+750</f>
        <v>1400</v>
      </c>
      <c r="M124">
        <v>13</v>
      </c>
      <c r="P124" s="4" t="s">
        <v>50</v>
      </c>
      <c r="Q124">
        <f>IF(AND(ISNUMBER(G124),ISNUMBER(H124),ISNUMBER(I124)), DATE(G124,H124,I124)-DATE(G124,1,1)+1, "")</f>
        <v>298</v>
      </c>
      <c r="R124" s="11">
        <f t="shared" si="3"/>
        <v>0</v>
      </c>
    </row>
    <row r="125" spans="1:18" x14ac:dyDescent="0.3">
      <c r="A125" s="4" t="s">
        <v>44</v>
      </c>
      <c r="B125" s="4" t="s">
        <v>13</v>
      </c>
      <c r="C125" s="4" t="s">
        <v>46</v>
      </c>
      <c r="E125" s="9">
        <v>61</v>
      </c>
      <c r="F125" s="6">
        <f t="shared" si="2"/>
        <v>45955</v>
      </c>
      <c r="G125" s="4">
        <v>2025</v>
      </c>
      <c r="H125" s="4">
        <v>10</v>
      </c>
      <c r="I125" s="4">
        <v>25</v>
      </c>
      <c r="J125" s="10">
        <v>1254</v>
      </c>
      <c r="K125" s="10">
        <f>450+350+1750</f>
        <v>2550</v>
      </c>
      <c r="M125">
        <v>13</v>
      </c>
      <c r="P125" s="4" t="s">
        <v>50</v>
      </c>
      <c r="Q125">
        <f>IF(AND(ISNUMBER(G125),ISNUMBER(H125),ISNUMBER(I125)), DATE(G125,H125,I125)-DATE(G125,1,1)+1, "")</f>
        <v>298</v>
      </c>
      <c r="R125" s="11">
        <f t="shared" si="3"/>
        <v>0</v>
      </c>
    </row>
    <row r="126" spans="1:18" x14ac:dyDescent="0.3">
      <c r="A126" s="4" t="s">
        <v>44</v>
      </c>
      <c r="B126" s="4" t="s">
        <v>13</v>
      </c>
      <c r="C126" s="4" t="s">
        <v>46</v>
      </c>
      <c r="E126" s="9">
        <v>62</v>
      </c>
      <c r="F126" s="6">
        <f t="shared" si="2"/>
        <v>45955</v>
      </c>
      <c r="G126" s="4">
        <v>2025</v>
      </c>
      <c r="H126" s="4">
        <v>10</v>
      </c>
      <c r="I126" s="4">
        <v>25</v>
      </c>
      <c r="J126" s="10">
        <v>1258</v>
      </c>
      <c r="K126" s="10">
        <f>500+450+50</f>
        <v>1000</v>
      </c>
      <c r="M126">
        <v>13</v>
      </c>
      <c r="P126" s="4" t="s">
        <v>50</v>
      </c>
      <c r="Q126">
        <f>IF(AND(ISNUMBER(G126),ISNUMBER(H126),ISNUMBER(I126)), DATE(G126,H126,I126)-DATE(G126,1,1)+1, "")</f>
        <v>298</v>
      </c>
      <c r="R126" s="11">
        <f t="shared" si="3"/>
        <v>0</v>
      </c>
    </row>
    <row r="127" spans="1:18" x14ac:dyDescent="0.3">
      <c r="A127" s="4" t="s">
        <v>44</v>
      </c>
      <c r="B127" s="4" t="s">
        <v>13</v>
      </c>
      <c r="C127" s="4" t="s">
        <v>46</v>
      </c>
      <c r="E127" s="9">
        <v>63</v>
      </c>
      <c r="F127" s="6">
        <f t="shared" si="2"/>
        <v>45955</v>
      </c>
      <c r="G127" s="4">
        <v>2025</v>
      </c>
      <c r="H127" s="4">
        <v>10</v>
      </c>
      <c r="I127" s="4">
        <v>25</v>
      </c>
      <c r="J127" s="10">
        <v>1302</v>
      </c>
      <c r="K127" s="10">
        <f>150+300+150+150</f>
        <v>750</v>
      </c>
      <c r="M127">
        <v>13</v>
      </c>
      <c r="P127" s="4" t="s">
        <v>50</v>
      </c>
      <c r="Q127">
        <f>IF(AND(ISNUMBER(G127),ISNUMBER(H127),ISNUMBER(I127)), DATE(G127,H127,I127)-DATE(G127,1,1)+1, "")</f>
        <v>298</v>
      </c>
      <c r="R127" s="11">
        <f>13*100+MINUTE(J127)</f>
        <v>1300</v>
      </c>
    </row>
    <row r="128" spans="1:18" x14ac:dyDescent="0.3">
      <c r="A128" s="4" t="s">
        <v>44</v>
      </c>
      <c r="B128" s="4" t="s">
        <v>13</v>
      </c>
      <c r="C128" s="4" t="s">
        <v>46</v>
      </c>
      <c r="E128" s="9">
        <v>64</v>
      </c>
      <c r="F128" s="6">
        <f t="shared" si="2"/>
        <v>45955</v>
      </c>
      <c r="G128" s="4">
        <v>2025</v>
      </c>
      <c r="H128" s="4">
        <v>10</v>
      </c>
      <c r="I128" s="4">
        <v>25</v>
      </c>
      <c r="J128" s="10">
        <v>1304</v>
      </c>
      <c r="K128" s="10">
        <v>200</v>
      </c>
      <c r="M128">
        <v>13</v>
      </c>
      <c r="P128" s="4" t="s">
        <v>50</v>
      </c>
      <c r="Q128">
        <f>IF(AND(ISNUMBER(G128),ISNUMBER(H128),ISNUMBER(I128)), DATE(G128,H128,I128)-DATE(G128,1,1)+1, "")</f>
        <v>298</v>
      </c>
      <c r="R128" s="11">
        <f t="shared" ref="R128:R135" si="8">13*100+MINUTE(J128)</f>
        <v>1300</v>
      </c>
    </row>
    <row r="129" spans="1:18" x14ac:dyDescent="0.3">
      <c r="A129" s="4" t="s">
        <v>44</v>
      </c>
      <c r="B129" s="4" t="s">
        <v>13</v>
      </c>
      <c r="C129" s="4" t="s">
        <v>46</v>
      </c>
      <c r="E129" s="9">
        <v>65</v>
      </c>
      <c r="F129" s="6">
        <f t="shared" si="2"/>
        <v>45955</v>
      </c>
      <c r="G129" s="4">
        <v>2025</v>
      </c>
      <c r="H129" s="4">
        <v>10</v>
      </c>
      <c r="I129" s="4">
        <v>25</v>
      </c>
      <c r="J129" s="10">
        <v>1308</v>
      </c>
      <c r="K129" s="10">
        <v>20</v>
      </c>
      <c r="M129">
        <v>13</v>
      </c>
      <c r="P129" s="4" t="s">
        <v>50</v>
      </c>
      <c r="Q129">
        <f>IF(AND(ISNUMBER(G129),ISNUMBER(H129),ISNUMBER(I129)), DATE(G129,H129,I129)-DATE(G129,1,1)+1, "")</f>
        <v>298</v>
      </c>
      <c r="R129" s="11">
        <f t="shared" si="8"/>
        <v>1300</v>
      </c>
    </row>
    <row r="130" spans="1:18" x14ac:dyDescent="0.3">
      <c r="A130" s="4" t="s">
        <v>44</v>
      </c>
      <c r="B130" s="4" t="s">
        <v>13</v>
      </c>
      <c r="C130" s="4" t="s">
        <v>46</v>
      </c>
      <c r="E130" s="9">
        <v>66</v>
      </c>
      <c r="F130" s="6">
        <f t="shared" si="2"/>
        <v>45955</v>
      </c>
      <c r="G130" s="4">
        <v>2025</v>
      </c>
      <c r="H130" s="4">
        <v>10</v>
      </c>
      <c r="I130" s="4">
        <v>25</v>
      </c>
      <c r="J130" s="10">
        <v>1311</v>
      </c>
      <c r="K130" s="10">
        <f>450+250+650+150+400</f>
        <v>1900</v>
      </c>
      <c r="M130">
        <v>13</v>
      </c>
      <c r="P130" s="4" t="s">
        <v>50</v>
      </c>
      <c r="Q130">
        <f>IF(AND(ISNUMBER(G130),ISNUMBER(H130),ISNUMBER(I130)), DATE(G130,H130,I130)-DATE(G130,1,1)+1, "")</f>
        <v>298</v>
      </c>
      <c r="R130" s="11">
        <f t="shared" si="8"/>
        <v>1300</v>
      </c>
    </row>
    <row r="131" spans="1:18" x14ac:dyDescent="0.3">
      <c r="A131" s="4" t="s">
        <v>44</v>
      </c>
      <c r="B131" s="4" t="s">
        <v>13</v>
      </c>
      <c r="C131" s="4" t="s">
        <v>46</v>
      </c>
      <c r="E131" s="9">
        <v>68</v>
      </c>
      <c r="F131" s="6">
        <f t="shared" ref="F131:F194" si="9">IF(AND(ISNUMBER(G131),ISNUMBER(H131),ISNUMBER(I131)),DATE(G131,H131,I131),"")</f>
        <v>45955</v>
      </c>
      <c r="G131" s="4">
        <v>2025</v>
      </c>
      <c r="H131" s="4">
        <v>10</v>
      </c>
      <c r="I131" s="4">
        <v>25</v>
      </c>
      <c r="J131" s="10">
        <v>1321</v>
      </c>
      <c r="K131" s="10">
        <v>550</v>
      </c>
      <c r="M131">
        <v>13</v>
      </c>
      <c r="P131" s="4" t="s">
        <v>50</v>
      </c>
      <c r="Q131">
        <f>IF(AND(ISNUMBER(G131),ISNUMBER(H131),ISNUMBER(I131)), DATE(G131,H131,I131)-DATE(G131,1,1)+1, "")</f>
        <v>298</v>
      </c>
      <c r="R131" s="11">
        <f t="shared" si="8"/>
        <v>1300</v>
      </c>
    </row>
    <row r="132" spans="1:18" x14ac:dyDescent="0.3">
      <c r="A132" s="4" t="s">
        <v>44</v>
      </c>
      <c r="B132" s="4" t="s">
        <v>13</v>
      </c>
      <c r="C132" s="4" t="s">
        <v>46</v>
      </c>
      <c r="E132" s="9">
        <v>71</v>
      </c>
      <c r="F132" s="6">
        <f t="shared" si="9"/>
        <v>45955</v>
      </c>
      <c r="G132" s="4">
        <v>2025</v>
      </c>
      <c r="H132" s="4">
        <v>10</v>
      </c>
      <c r="I132" s="4">
        <v>25</v>
      </c>
      <c r="J132" s="10">
        <v>1338</v>
      </c>
      <c r="K132" s="10">
        <v>50</v>
      </c>
      <c r="M132">
        <v>13</v>
      </c>
      <c r="P132" s="4" t="s">
        <v>50</v>
      </c>
      <c r="Q132">
        <f>IF(AND(ISNUMBER(G132),ISNUMBER(H132),ISNUMBER(I132)), DATE(G132,H132,I132)-DATE(G132,1,1)+1, "")</f>
        <v>298</v>
      </c>
      <c r="R132" s="11">
        <f t="shared" si="8"/>
        <v>1300</v>
      </c>
    </row>
    <row r="133" spans="1:18" x14ac:dyDescent="0.3">
      <c r="A133" s="4" t="s">
        <v>44</v>
      </c>
      <c r="B133" s="4" t="s">
        <v>13</v>
      </c>
      <c r="C133" s="4" t="s">
        <v>46</v>
      </c>
      <c r="E133" s="9">
        <v>72</v>
      </c>
      <c r="F133" s="6">
        <f t="shared" si="9"/>
        <v>45955</v>
      </c>
      <c r="G133" s="4">
        <v>2025</v>
      </c>
      <c r="H133" s="4">
        <v>10</v>
      </c>
      <c r="I133" s="4">
        <v>25</v>
      </c>
      <c r="J133" s="10">
        <v>1340</v>
      </c>
      <c r="K133" s="10">
        <v>500</v>
      </c>
      <c r="M133">
        <v>13</v>
      </c>
      <c r="P133" s="4" t="s">
        <v>50</v>
      </c>
      <c r="Q133">
        <f>IF(AND(ISNUMBER(G133),ISNUMBER(H133),ISNUMBER(I133)), DATE(G133,H133,I133)-DATE(G133,1,1)+1, "")</f>
        <v>298</v>
      </c>
      <c r="R133" s="11">
        <f t="shared" si="8"/>
        <v>1300</v>
      </c>
    </row>
    <row r="134" spans="1:18" x14ac:dyDescent="0.3">
      <c r="A134" s="4" t="s">
        <v>44</v>
      </c>
      <c r="B134" s="4" t="s">
        <v>13</v>
      </c>
      <c r="C134" s="4" t="s">
        <v>46</v>
      </c>
      <c r="E134" s="9">
        <v>73</v>
      </c>
      <c r="F134" s="6">
        <f t="shared" si="9"/>
        <v>45955</v>
      </c>
      <c r="G134" s="4">
        <v>2025</v>
      </c>
      <c r="H134" s="4">
        <v>10</v>
      </c>
      <c r="I134" s="4">
        <v>25</v>
      </c>
      <c r="J134" s="10">
        <v>1344</v>
      </c>
      <c r="K134" s="10">
        <f>300+350+100+400+300</f>
        <v>1450</v>
      </c>
      <c r="M134">
        <v>13</v>
      </c>
      <c r="P134" s="4" t="s">
        <v>50</v>
      </c>
      <c r="Q134">
        <f>IF(AND(ISNUMBER(G134),ISNUMBER(H134),ISNUMBER(I134)), DATE(G134,H134,I134)-DATE(G134,1,1)+1, "")</f>
        <v>298</v>
      </c>
      <c r="R134" s="11">
        <f t="shared" si="8"/>
        <v>1300</v>
      </c>
    </row>
    <row r="135" spans="1:18" x14ac:dyDescent="0.3">
      <c r="A135" s="4" t="s">
        <v>44</v>
      </c>
      <c r="B135" s="4" t="s">
        <v>13</v>
      </c>
      <c r="C135" s="4" t="s">
        <v>46</v>
      </c>
      <c r="E135" s="9">
        <v>74</v>
      </c>
      <c r="F135" s="6">
        <f t="shared" si="9"/>
        <v>45955</v>
      </c>
      <c r="G135" s="4">
        <v>2025</v>
      </c>
      <c r="H135" s="4">
        <v>10</v>
      </c>
      <c r="I135" s="4">
        <v>25</v>
      </c>
      <c r="J135" s="10">
        <v>1347</v>
      </c>
      <c r="K135" s="10">
        <v>20</v>
      </c>
      <c r="M135">
        <v>13</v>
      </c>
      <c r="P135" s="4" t="s">
        <v>50</v>
      </c>
      <c r="Q135">
        <f>IF(AND(ISNUMBER(G135),ISNUMBER(H135),ISNUMBER(I135)), DATE(G135,H135,I135)-DATE(G135,1,1)+1, "")</f>
        <v>298</v>
      </c>
      <c r="R135" s="11">
        <f t="shared" si="8"/>
        <v>1300</v>
      </c>
    </row>
    <row r="136" spans="1:18" x14ac:dyDescent="0.3">
      <c r="F136" s="6" t="str">
        <f t="shared" si="9"/>
        <v/>
      </c>
    </row>
    <row r="137" spans="1:18" x14ac:dyDescent="0.3">
      <c r="F137" s="6" t="str">
        <f t="shared" si="9"/>
        <v/>
      </c>
    </row>
    <row r="138" spans="1:18" x14ac:dyDescent="0.3">
      <c r="F138" s="6" t="str">
        <f t="shared" si="9"/>
        <v/>
      </c>
    </row>
    <row r="139" spans="1:18" x14ac:dyDescent="0.3">
      <c r="F139" s="6" t="str">
        <f t="shared" si="9"/>
        <v/>
      </c>
    </row>
    <row r="140" spans="1:18" x14ac:dyDescent="0.3">
      <c r="F140" s="6" t="str">
        <f t="shared" si="9"/>
        <v/>
      </c>
    </row>
    <row r="141" spans="1:18" x14ac:dyDescent="0.3">
      <c r="F141" s="6" t="str">
        <f t="shared" si="9"/>
        <v/>
      </c>
    </row>
    <row r="142" spans="1:18" x14ac:dyDescent="0.3">
      <c r="F142" s="6" t="str">
        <f t="shared" si="9"/>
        <v/>
      </c>
    </row>
    <row r="143" spans="1:18" x14ac:dyDescent="0.3">
      <c r="F143" s="6" t="str">
        <f t="shared" si="9"/>
        <v/>
      </c>
    </row>
    <row r="144" spans="1:18" x14ac:dyDescent="0.3">
      <c r="F144" s="6" t="str">
        <f t="shared" si="9"/>
        <v/>
      </c>
    </row>
    <row r="145" spans="6:6" x14ac:dyDescent="0.3">
      <c r="F145" s="6" t="str">
        <f t="shared" si="9"/>
        <v/>
      </c>
    </row>
    <row r="146" spans="6:6" x14ac:dyDescent="0.3">
      <c r="F146" s="6" t="str">
        <f t="shared" si="9"/>
        <v/>
      </c>
    </row>
    <row r="147" spans="6:6" x14ac:dyDescent="0.3">
      <c r="F147" s="6" t="str">
        <f t="shared" si="9"/>
        <v/>
      </c>
    </row>
    <row r="148" spans="6:6" x14ac:dyDescent="0.3">
      <c r="F148" s="6" t="str">
        <f t="shared" si="9"/>
        <v/>
      </c>
    </row>
    <row r="149" spans="6:6" x14ac:dyDescent="0.3">
      <c r="F149" s="6" t="str">
        <f t="shared" si="9"/>
        <v/>
      </c>
    </row>
    <row r="150" spans="6:6" x14ac:dyDescent="0.3">
      <c r="F150" s="6" t="str">
        <f t="shared" si="9"/>
        <v/>
      </c>
    </row>
    <row r="151" spans="6:6" x14ac:dyDescent="0.3">
      <c r="F151" s="6" t="str">
        <f t="shared" si="9"/>
        <v/>
      </c>
    </row>
    <row r="152" spans="6:6" x14ac:dyDescent="0.3">
      <c r="F152" s="6" t="str">
        <f t="shared" si="9"/>
        <v/>
      </c>
    </row>
    <row r="153" spans="6:6" x14ac:dyDescent="0.3">
      <c r="F153" s="6" t="str">
        <f t="shared" si="9"/>
        <v/>
      </c>
    </row>
    <row r="154" spans="6:6" x14ac:dyDescent="0.3">
      <c r="F154" s="6" t="str">
        <f t="shared" si="9"/>
        <v/>
      </c>
    </row>
    <row r="155" spans="6:6" x14ac:dyDescent="0.3">
      <c r="F155" s="6" t="str">
        <f t="shared" si="9"/>
        <v/>
      </c>
    </row>
    <row r="156" spans="6:6" x14ac:dyDescent="0.3">
      <c r="F156" s="6" t="str">
        <f t="shared" si="9"/>
        <v/>
      </c>
    </row>
    <row r="157" spans="6:6" x14ac:dyDescent="0.3">
      <c r="F157" s="6" t="str">
        <f t="shared" si="9"/>
        <v/>
      </c>
    </row>
    <row r="158" spans="6:6" x14ac:dyDescent="0.3">
      <c r="F158" s="6" t="str">
        <f t="shared" si="9"/>
        <v/>
      </c>
    </row>
    <row r="159" spans="6:6" x14ac:dyDescent="0.3">
      <c r="F159" s="6" t="str">
        <f t="shared" si="9"/>
        <v/>
      </c>
    </row>
    <row r="160" spans="6:6" x14ac:dyDescent="0.3">
      <c r="F160" s="6" t="str">
        <f t="shared" si="9"/>
        <v/>
      </c>
    </row>
    <row r="161" spans="6:6" x14ac:dyDescent="0.3">
      <c r="F161" s="6" t="str">
        <f t="shared" si="9"/>
        <v/>
      </c>
    </row>
    <row r="162" spans="6:6" x14ac:dyDescent="0.3">
      <c r="F162" s="6" t="str">
        <f t="shared" si="9"/>
        <v/>
      </c>
    </row>
    <row r="163" spans="6:6" x14ac:dyDescent="0.3">
      <c r="F163" s="6" t="str">
        <f t="shared" si="9"/>
        <v/>
      </c>
    </row>
    <row r="164" spans="6:6" x14ac:dyDescent="0.3">
      <c r="F164" s="6" t="str">
        <f t="shared" si="9"/>
        <v/>
      </c>
    </row>
    <row r="165" spans="6:6" x14ac:dyDescent="0.3">
      <c r="F165" s="6" t="str">
        <f t="shared" si="9"/>
        <v/>
      </c>
    </row>
    <row r="166" spans="6:6" x14ac:dyDescent="0.3">
      <c r="F166" s="6" t="str">
        <f t="shared" si="9"/>
        <v/>
      </c>
    </row>
    <row r="167" spans="6:6" x14ac:dyDescent="0.3">
      <c r="F167" s="6" t="str">
        <f t="shared" si="9"/>
        <v/>
      </c>
    </row>
    <row r="168" spans="6:6" x14ac:dyDescent="0.3">
      <c r="F168" s="6" t="str">
        <f t="shared" si="9"/>
        <v/>
      </c>
    </row>
    <row r="169" spans="6:6" x14ac:dyDescent="0.3">
      <c r="F169" s="6" t="str">
        <f t="shared" si="9"/>
        <v/>
      </c>
    </row>
    <row r="170" spans="6:6" x14ac:dyDescent="0.3">
      <c r="F170" s="6" t="str">
        <f t="shared" si="9"/>
        <v/>
      </c>
    </row>
    <row r="171" spans="6:6" x14ac:dyDescent="0.3">
      <c r="F171" s="6" t="str">
        <f t="shared" si="9"/>
        <v/>
      </c>
    </row>
    <row r="172" spans="6:6" x14ac:dyDescent="0.3">
      <c r="F172" s="6" t="str">
        <f t="shared" si="9"/>
        <v/>
      </c>
    </row>
    <row r="173" spans="6:6" x14ac:dyDescent="0.3">
      <c r="F173" s="6" t="str">
        <f t="shared" si="9"/>
        <v/>
      </c>
    </row>
    <row r="174" spans="6:6" x14ac:dyDescent="0.3">
      <c r="F174" s="6" t="str">
        <f t="shared" si="9"/>
        <v/>
      </c>
    </row>
    <row r="175" spans="6:6" x14ac:dyDescent="0.3">
      <c r="F175" s="6" t="str">
        <f t="shared" si="9"/>
        <v/>
      </c>
    </row>
    <row r="176" spans="6:6" x14ac:dyDescent="0.3">
      <c r="F176" s="6" t="str">
        <f t="shared" si="9"/>
        <v/>
      </c>
    </row>
    <row r="177" spans="6:6" x14ac:dyDescent="0.3">
      <c r="F177" s="6" t="str">
        <f t="shared" si="9"/>
        <v/>
      </c>
    </row>
    <row r="178" spans="6:6" x14ac:dyDescent="0.3">
      <c r="F178" s="6" t="str">
        <f t="shared" si="9"/>
        <v/>
      </c>
    </row>
    <row r="179" spans="6:6" x14ac:dyDescent="0.3">
      <c r="F179" s="6" t="str">
        <f t="shared" si="9"/>
        <v/>
      </c>
    </row>
    <row r="180" spans="6:6" x14ac:dyDescent="0.3">
      <c r="F180" s="6" t="str">
        <f t="shared" si="9"/>
        <v/>
      </c>
    </row>
    <row r="181" spans="6:6" x14ac:dyDescent="0.3">
      <c r="F181" s="6" t="str">
        <f t="shared" si="9"/>
        <v/>
      </c>
    </row>
    <row r="182" spans="6:6" x14ac:dyDescent="0.3">
      <c r="F182" s="6" t="str">
        <f t="shared" si="9"/>
        <v/>
      </c>
    </row>
    <row r="183" spans="6:6" x14ac:dyDescent="0.3">
      <c r="F183" s="6" t="str">
        <f t="shared" si="9"/>
        <v/>
      </c>
    </row>
    <row r="184" spans="6:6" x14ac:dyDescent="0.3">
      <c r="F184" s="6" t="str">
        <f t="shared" si="9"/>
        <v/>
      </c>
    </row>
    <row r="185" spans="6:6" x14ac:dyDescent="0.3">
      <c r="F185" s="6" t="str">
        <f t="shared" si="9"/>
        <v/>
      </c>
    </row>
    <row r="186" spans="6:6" x14ac:dyDescent="0.3">
      <c r="F186" s="6" t="str">
        <f t="shared" si="9"/>
        <v/>
      </c>
    </row>
    <row r="187" spans="6:6" x14ac:dyDescent="0.3">
      <c r="F187" s="6" t="str">
        <f t="shared" si="9"/>
        <v/>
      </c>
    </row>
    <row r="188" spans="6:6" x14ac:dyDescent="0.3">
      <c r="F188" s="6" t="str">
        <f t="shared" si="9"/>
        <v/>
      </c>
    </row>
    <row r="189" spans="6:6" x14ac:dyDescent="0.3">
      <c r="F189" s="6" t="str">
        <f t="shared" si="9"/>
        <v/>
      </c>
    </row>
    <row r="190" spans="6:6" x14ac:dyDescent="0.3">
      <c r="F190" s="6" t="str">
        <f t="shared" si="9"/>
        <v/>
      </c>
    </row>
    <row r="191" spans="6:6" x14ac:dyDescent="0.3">
      <c r="F191" s="6" t="str">
        <f t="shared" si="9"/>
        <v/>
      </c>
    </row>
    <row r="192" spans="6:6" x14ac:dyDescent="0.3">
      <c r="F192" s="6" t="str">
        <f t="shared" si="9"/>
        <v/>
      </c>
    </row>
    <row r="193" spans="6:6" x14ac:dyDescent="0.3">
      <c r="F193" s="6" t="str">
        <f t="shared" si="9"/>
        <v/>
      </c>
    </row>
    <row r="194" spans="6:6" x14ac:dyDescent="0.3">
      <c r="F194" s="6" t="str">
        <f t="shared" si="9"/>
        <v/>
      </c>
    </row>
    <row r="195" spans="6:6" x14ac:dyDescent="0.3">
      <c r="F195" s="6" t="str">
        <f t="shared" ref="F195:F258" si="10">IF(AND(ISNUMBER(G195),ISNUMBER(H195),ISNUMBER(I195)),DATE(G195,H195,I195),"")</f>
        <v/>
      </c>
    </row>
    <row r="196" spans="6:6" x14ac:dyDescent="0.3">
      <c r="F196" s="6" t="str">
        <f t="shared" si="10"/>
        <v/>
      </c>
    </row>
    <row r="197" spans="6:6" x14ac:dyDescent="0.3">
      <c r="F197" s="6" t="str">
        <f t="shared" si="10"/>
        <v/>
      </c>
    </row>
    <row r="198" spans="6:6" x14ac:dyDescent="0.3">
      <c r="F198" s="6" t="str">
        <f t="shared" si="10"/>
        <v/>
      </c>
    </row>
    <row r="199" spans="6:6" x14ac:dyDescent="0.3">
      <c r="F199" s="6" t="str">
        <f t="shared" si="10"/>
        <v/>
      </c>
    </row>
    <row r="200" spans="6:6" x14ac:dyDescent="0.3">
      <c r="F200" s="6" t="str">
        <f t="shared" si="10"/>
        <v/>
      </c>
    </row>
    <row r="201" spans="6:6" x14ac:dyDescent="0.3">
      <c r="F201" s="6" t="str">
        <f t="shared" si="10"/>
        <v/>
      </c>
    </row>
    <row r="202" spans="6:6" x14ac:dyDescent="0.3">
      <c r="F202" s="6" t="str">
        <f t="shared" si="10"/>
        <v/>
      </c>
    </row>
    <row r="203" spans="6:6" x14ac:dyDescent="0.3">
      <c r="F203" s="6" t="str">
        <f t="shared" si="10"/>
        <v/>
      </c>
    </row>
    <row r="204" spans="6:6" x14ac:dyDescent="0.3">
      <c r="F204" s="6" t="str">
        <f t="shared" si="10"/>
        <v/>
      </c>
    </row>
    <row r="205" spans="6:6" x14ac:dyDescent="0.3">
      <c r="F205" s="6" t="str">
        <f t="shared" si="10"/>
        <v/>
      </c>
    </row>
    <row r="206" spans="6:6" x14ac:dyDescent="0.3">
      <c r="F206" s="6" t="str">
        <f t="shared" si="10"/>
        <v/>
      </c>
    </row>
    <row r="207" spans="6:6" x14ac:dyDescent="0.3">
      <c r="F207" s="6" t="str">
        <f t="shared" si="10"/>
        <v/>
      </c>
    </row>
    <row r="208" spans="6:6" x14ac:dyDescent="0.3">
      <c r="F208" s="6" t="str">
        <f t="shared" si="10"/>
        <v/>
      </c>
    </row>
    <row r="209" spans="6:6" x14ac:dyDescent="0.3">
      <c r="F209" s="6" t="str">
        <f t="shared" si="10"/>
        <v/>
      </c>
    </row>
    <row r="210" spans="6:6" x14ac:dyDescent="0.3">
      <c r="F210" s="6" t="str">
        <f t="shared" si="10"/>
        <v/>
      </c>
    </row>
    <row r="211" spans="6:6" x14ac:dyDescent="0.3">
      <c r="F211" s="6" t="str">
        <f t="shared" si="10"/>
        <v/>
      </c>
    </row>
    <row r="212" spans="6:6" x14ac:dyDescent="0.3">
      <c r="F212" s="6" t="str">
        <f t="shared" si="10"/>
        <v/>
      </c>
    </row>
    <row r="213" spans="6:6" x14ac:dyDescent="0.3">
      <c r="F213" s="6" t="str">
        <f t="shared" si="10"/>
        <v/>
      </c>
    </row>
    <row r="214" spans="6:6" x14ac:dyDescent="0.3">
      <c r="F214" s="6" t="str">
        <f t="shared" si="10"/>
        <v/>
      </c>
    </row>
    <row r="215" spans="6:6" x14ac:dyDescent="0.3">
      <c r="F215" s="6" t="str">
        <f t="shared" si="10"/>
        <v/>
      </c>
    </row>
    <row r="216" spans="6:6" x14ac:dyDescent="0.3">
      <c r="F216" s="6" t="str">
        <f t="shared" si="10"/>
        <v/>
      </c>
    </row>
    <row r="217" spans="6:6" x14ac:dyDescent="0.3">
      <c r="F217" s="6" t="str">
        <f t="shared" si="10"/>
        <v/>
      </c>
    </row>
    <row r="218" spans="6:6" x14ac:dyDescent="0.3">
      <c r="F218" s="6" t="str">
        <f t="shared" si="10"/>
        <v/>
      </c>
    </row>
    <row r="219" spans="6:6" x14ac:dyDescent="0.3">
      <c r="F219" s="6" t="str">
        <f t="shared" si="10"/>
        <v/>
      </c>
    </row>
    <row r="220" spans="6:6" x14ac:dyDescent="0.3">
      <c r="F220" s="6" t="str">
        <f t="shared" si="10"/>
        <v/>
      </c>
    </row>
    <row r="221" spans="6:6" x14ac:dyDescent="0.3">
      <c r="F221" s="6" t="str">
        <f t="shared" si="10"/>
        <v/>
      </c>
    </row>
    <row r="222" spans="6:6" x14ac:dyDescent="0.3">
      <c r="F222" s="6" t="str">
        <f t="shared" si="10"/>
        <v/>
      </c>
    </row>
    <row r="223" spans="6:6" x14ac:dyDescent="0.3">
      <c r="F223" s="6" t="str">
        <f t="shared" si="10"/>
        <v/>
      </c>
    </row>
    <row r="224" spans="6:6" x14ac:dyDescent="0.3">
      <c r="F224" s="6" t="str">
        <f t="shared" si="10"/>
        <v/>
      </c>
    </row>
    <row r="225" spans="6:6" x14ac:dyDescent="0.3">
      <c r="F225" s="6" t="str">
        <f t="shared" si="10"/>
        <v/>
      </c>
    </row>
    <row r="226" spans="6:6" x14ac:dyDescent="0.3">
      <c r="F226" s="6" t="str">
        <f t="shared" si="10"/>
        <v/>
      </c>
    </row>
    <row r="227" spans="6:6" x14ac:dyDescent="0.3">
      <c r="F227" s="6" t="str">
        <f t="shared" si="10"/>
        <v/>
      </c>
    </row>
    <row r="228" spans="6:6" x14ac:dyDescent="0.3">
      <c r="F228" s="6" t="str">
        <f t="shared" si="10"/>
        <v/>
      </c>
    </row>
    <row r="229" spans="6:6" x14ac:dyDescent="0.3">
      <c r="F229" s="6" t="str">
        <f t="shared" si="10"/>
        <v/>
      </c>
    </row>
    <row r="230" spans="6:6" x14ac:dyDescent="0.3">
      <c r="F230" s="6" t="str">
        <f t="shared" si="10"/>
        <v/>
      </c>
    </row>
    <row r="231" spans="6:6" x14ac:dyDescent="0.3">
      <c r="F231" s="6" t="str">
        <f t="shared" si="10"/>
        <v/>
      </c>
    </row>
    <row r="232" spans="6:6" x14ac:dyDescent="0.3">
      <c r="F232" s="6" t="str">
        <f t="shared" si="10"/>
        <v/>
      </c>
    </row>
    <row r="233" spans="6:6" x14ac:dyDescent="0.3">
      <c r="F233" s="6" t="str">
        <f t="shared" si="10"/>
        <v/>
      </c>
    </row>
    <row r="234" spans="6:6" x14ac:dyDescent="0.3">
      <c r="F234" s="6" t="str">
        <f t="shared" si="10"/>
        <v/>
      </c>
    </row>
    <row r="235" spans="6:6" x14ac:dyDescent="0.3">
      <c r="F235" s="6" t="str">
        <f t="shared" si="10"/>
        <v/>
      </c>
    </row>
    <row r="236" spans="6:6" x14ac:dyDescent="0.3">
      <c r="F236" s="6" t="str">
        <f t="shared" si="10"/>
        <v/>
      </c>
    </row>
    <row r="237" spans="6:6" x14ac:dyDescent="0.3">
      <c r="F237" s="6" t="str">
        <f t="shared" si="10"/>
        <v/>
      </c>
    </row>
    <row r="238" spans="6:6" x14ac:dyDescent="0.3">
      <c r="F238" s="6" t="str">
        <f t="shared" si="10"/>
        <v/>
      </c>
    </row>
    <row r="239" spans="6:6" x14ac:dyDescent="0.3">
      <c r="F239" s="6" t="str">
        <f t="shared" si="10"/>
        <v/>
      </c>
    </row>
    <row r="240" spans="6:6" x14ac:dyDescent="0.3">
      <c r="F240" s="6" t="str">
        <f t="shared" si="10"/>
        <v/>
      </c>
    </row>
    <row r="241" spans="6:6" x14ac:dyDescent="0.3">
      <c r="F241" s="6" t="str">
        <f t="shared" si="10"/>
        <v/>
      </c>
    </row>
    <row r="242" spans="6:6" x14ac:dyDescent="0.3">
      <c r="F242" s="6" t="str">
        <f t="shared" si="10"/>
        <v/>
      </c>
    </row>
    <row r="243" spans="6:6" x14ac:dyDescent="0.3">
      <c r="F243" s="6" t="str">
        <f t="shared" si="10"/>
        <v/>
      </c>
    </row>
    <row r="244" spans="6:6" x14ac:dyDescent="0.3">
      <c r="F244" s="6" t="str">
        <f t="shared" si="10"/>
        <v/>
      </c>
    </row>
    <row r="245" spans="6:6" x14ac:dyDescent="0.3">
      <c r="F245" s="6" t="str">
        <f t="shared" si="10"/>
        <v/>
      </c>
    </row>
    <row r="246" spans="6:6" x14ac:dyDescent="0.3">
      <c r="F246" s="6" t="str">
        <f t="shared" si="10"/>
        <v/>
      </c>
    </row>
    <row r="247" spans="6:6" x14ac:dyDescent="0.3">
      <c r="F247" s="6" t="str">
        <f t="shared" si="10"/>
        <v/>
      </c>
    </row>
    <row r="248" spans="6:6" x14ac:dyDescent="0.3">
      <c r="F248" s="6" t="str">
        <f t="shared" si="10"/>
        <v/>
      </c>
    </row>
    <row r="249" spans="6:6" x14ac:dyDescent="0.3">
      <c r="F249" s="6" t="str">
        <f t="shared" si="10"/>
        <v/>
      </c>
    </row>
    <row r="250" spans="6:6" x14ac:dyDescent="0.3">
      <c r="F250" s="6" t="str">
        <f t="shared" si="10"/>
        <v/>
      </c>
    </row>
    <row r="251" spans="6:6" x14ac:dyDescent="0.3">
      <c r="F251" s="6" t="str">
        <f t="shared" si="10"/>
        <v/>
      </c>
    </row>
    <row r="252" spans="6:6" x14ac:dyDescent="0.3">
      <c r="F252" s="6" t="str">
        <f t="shared" si="10"/>
        <v/>
      </c>
    </row>
    <row r="253" spans="6:6" x14ac:dyDescent="0.3">
      <c r="F253" s="6" t="str">
        <f t="shared" si="10"/>
        <v/>
      </c>
    </row>
    <row r="254" spans="6:6" x14ac:dyDescent="0.3">
      <c r="F254" s="6" t="str">
        <f t="shared" si="10"/>
        <v/>
      </c>
    </row>
    <row r="255" spans="6:6" x14ac:dyDescent="0.3">
      <c r="F255" s="6" t="str">
        <f t="shared" si="10"/>
        <v/>
      </c>
    </row>
    <row r="256" spans="6:6" x14ac:dyDescent="0.3">
      <c r="F256" s="6" t="str">
        <f t="shared" si="10"/>
        <v/>
      </c>
    </row>
    <row r="257" spans="6:6" x14ac:dyDescent="0.3">
      <c r="F257" s="6" t="str">
        <f t="shared" si="10"/>
        <v/>
      </c>
    </row>
    <row r="258" spans="6:6" x14ac:dyDescent="0.3">
      <c r="F258" s="6" t="str">
        <f t="shared" si="10"/>
        <v/>
      </c>
    </row>
    <row r="259" spans="6:6" x14ac:dyDescent="0.3">
      <c r="F259" s="6" t="str">
        <f t="shared" ref="F259:F322" si="11">IF(AND(ISNUMBER(G259),ISNUMBER(H259),ISNUMBER(I259)),DATE(G259,H259,I259),"")</f>
        <v/>
      </c>
    </row>
    <row r="260" spans="6:6" x14ac:dyDescent="0.3">
      <c r="F260" s="6" t="str">
        <f t="shared" si="11"/>
        <v/>
      </c>
    </row>
    <row r="261" spans="6:6" x14ac:dyDescent="0.3">
      <c r="F261" s="6" t="str">
        <f t="shared" si="11"/>
        <v/>
      </c>
    </row>
    <row r="262" spans="6:6" x14ac:dyDescent="0.3">
      <c r="F262" s="6" t="str">
        <f t="shared" si="11"/>
        <v/>
      </c>
    </row>
    <row r="263" spans="6:6" x14ac:dyDescent="0.3">
      <c r="F263" s="6" t="str">
        <f t="shared" si="11"/>
        <v/>
      </c>
    </row>
    <row r="264" spans="6:6" x14ac:dyDescent="0.3">
      <c r="F264" s="6" t="str">
        <f t="shared" si="11"/>
        <v/>
      </c>
    </row>
    <row r="265" spans="6:6" x14ac:dyDescent="0.3">
      <c r="F265" s="6" t="str">
        <f t="shared" si="11"/>
        <v/>
      </c>
    </row>
    <row r="266" spans="6:6" x14ac:dyDescent="0.3">
      <c r="F266" s="6" t="str">
        <f t="shared" si="11"/>
        <v/>
      </c>
    </row>
    <row r="267" spans="6:6" x14ac:dyDescent="0.3">
      <c r="F267" s="6" t="str">
        <f t="shared" si="11"/>
        <v/>
      </c>
    </row>
    <row r="268" spans="6:6" x14ac:dyDescent="0.3">
      <c r="F268" s="6" t="str">
        <f t="shared" si="11"/>
        <v/>
      </c>
    </row>
    <row r="269" spans="6:6" x14ac:dyDescent="0.3">
      <c r="F269" s="6" t="str">
        <f t="shared" si="11"/>
        <v/>
      </c>
    </row>
    <row r="270" spans="6:6" x14ac:dyDescent="0.3">
      <c r="F270" s="6" t="str">
        <f t="shared" si="11"/>
        <v/>
      </c>
    </row>
    <row r="271" spans="6:6" x14ac:dyDescent="0.3">
      <c r="F271" s="6" t="str">
        <f t="shared" si="11"/>
        <v/>
      </c>
    </row>
    <row r="272" spans="6:6" x14ac:dyDescent="0.3">
      <c r="F272" s="6" t="str">
        <f t="shared" si="11"/>
        <v/>
      </c>
    </row>
    <row r="273" spans="6:6" x14ac:dyDescent="0.3">
      <c r="F273" s="6" t="str">
        <f t="shared" si="11"/>
        <v/>
      </c>
    </row>
    <row r="274" spans="6:6" x14ac:dyDescent="0.3">
      <c r="F274" s="6" t="str">
        <f t="shared" si="11"/>
        <v/>
      </c>
    </row>
    <row r="275" spans="6:6" x14ac:dyDescent="0.3">
      <c r="F275" s="6" t="str">
        <f t="shared" si="11"/>
        <v/>
      </c>
    </row>
    <row r="276" spans="6:6" x14ac:dyDescent="0.3">
      <c r="F276" s="6" t="str">
        <f t="shared" si="11"/>
        <v/>
      </c>
    </row>
    <row r="277" spans="6:6" x14ac:dyDescent="0.3">
      <c r="F277" s="6" t="str">
        <f t="shared" si="11"/>
        <v/>
      </c>
    </row>
    <row r="278" spans="6:6" x14ac:dyDescent="0.3">
      <c r="F278" s="6" t="str">
        <f t="shared" si="11"/>
        <v/>
      </c>
    </row>
    <row r="279" spans="6:6" x14ac:dyDescent="0.3">
      <c r="F279" s="6" t="str">
        <f t="shared" si="11"/>
        <v/>
      </c>
    </row>
    <row r="280" spans="6:6" x14ac:dyDescent="0.3">
      <c r="F280" s="6" t="str">
        <f t="shared" si="11"/>
        <v/>
      </c>
    </row>
    <row r="281" spans="6:6" x14ac:dyDescent="0.3">
      <c r="F281" s="6" t="str">
        <f t="shared" si="11"/>
        <v/>
      </c>
    </row>
    <row r="282" spans="6:6" x14ac:dyDescent="0.3">
      <c r="F282" s="6" t="str">
        <f t="shared" si="11"/>
        <v/>
      </c>
    </row>
    <row r="283" spans="6:6" x14ac:dyDescent="0.3">
      <c r="F283" s="6" t="str">
        <f t="shared" si="11"/>
        <v/>
      </c>
    </row>
    <row r="284" spans="6:6" x14ac:dyDescent="0.3">
      <c r="F284" s="6" t="str">
        <f t="shared" si="11"/>
        <v/>
      </c>
    </row>
    <row r="285" spans="6:6" x14ac:dyDescent="0.3">
      <c r="F285" s="6" t="str">
        <f t="shared" si="11"/>
        <v/>
      </c>
    </row>
    <row r="286" spans="6:6" x14ac:dyDescent="0.3">
      <c r="F286" s="6" t="str">
        <f t="shared" si="11"/>
        <v/>
      </c>
    </row>
    <row r="287" spans="6:6" x14ac:dyDescent="0.3">
      <c r="F287" s="6" t="str">
        <f t="shared" si="11"/>
        <v/>
      </c>
    </row>
    <row r="288" spans="6:6" x14ac:dyDescent="0.3">
      <c r="F288" s="6" t="str">
        <f t="shared" si="11"/>
        <v/>
      </c>
    </row>
    <row r="289" spans="6:6" x14ac:dyDescent="0.3">
      <c r="F289" s="6" t="str">
        <f t="shared" si="11"/>
        <v/>
      </c>
    </row>
    <row r="290" spans="6:6" x14ac:dyDescent="0.3">
      <c r="F290" s="6" t="str">
        <f t="shared" si="11"/>
        <v/>
      </c>
    </row>
    <row r="291" spans="6:6" x14ac:dyDescent="0.3">
      <c r="F291" s="6" t="str">
        <f t="shared" si="11"/>
        <v/>
      </c>
    </row>
    <row r="292" spans="6:6" x14ac:dyDescent="0.3">
      <c r="F292" s="6" t="str">
        <f t="shared" si="11"/>
        <v/>
      </c>
    </row>
    <row r="293" spans="6:6" x14ac:dyDescent="0.3">
      <c r="F293" s="6" t="str">
        <f t="shared" si="11"/>
        <v/>
      </c>
    </row>
    <row r="294" spans="6:6" x14ac:dyDescent="0.3">
      <c r="F294" s="6" t="str">
        <f t="shared" si="11"/>
        <v/>
      </c>
    </row>
    <row r="295" spans="6:6" x14ac:dyDescent="0.3">
      <c r="F295" s="6" t="str">
        <f t="shared" si="11"/>
        <v/>
      </c>
    </row>
    <row r="296" spans="6:6" x14ac:dyDescent="0.3">
      <c r="F296" s="6" t="str">
        <f t="shared" si="11"/>
        <v/>
      </c>
    </row>
    <row r="297" spans="6:6" x14ac:dyDescent="0.3">
      <c r="F297" s="6" t="str">
        <f t="shared" si="11"/>
        <v/>
      </c>
    </row>
    <row r="298" spans="6:6" x14ac:dyDescent="0.3">
      <c r="F298" s="6" t="str">
        <f t="shared" si="11"/>
        <v/>
      </c>
    </row>
    <row r="299" spans="6:6" x14ac:dyDescent="0.3">
      <c r="F299" s="6" t="str">
        <f t="shared" si="11"/>
        <v/>
      </c>
    </row>
    <row r="300" spans="6:6" x14ac:dyDescent="0.3">
      <c r="F300" s="6" t="str">
        <f t="shared" si="11"/>
        <v/>
      </c>
    </row>
    <row r="301" spans="6:6" x14ac:dyDescent="0.3">
      <c r="F301" s="6" t="str">
        <f t="shared" si="11"/>
        <v/>
      </c>
    </row>
    <row r="302" spans="6:6" x14ac:dyDescent="0.3">
      <c r="F302" s="6" t="str">
        <f t="shared" si="11"/>
        <v/>
      </c>
    </row>
    <row r="303" spans="6:6" x14ac:dyDescent="0.3">
      <c r="F303" s="6" t="str">
        <f t="shared" si="11"/>
        <v/>
      </c>
    </row>
    <row r="304" spans="6:6" x14ac:dyDescent="0.3">
      <c r="F304" s="6" t="str">
        <f t="shared" si="11"/>
        <v/>
      </c>
    </row>
    <row r="305" spans="6:6" x14ac:dyDescent="0.3">
      <c r="F305" s="6" t="str">
        <f t="shared" si="11"/>
        <v/>
      </c>
    </row>
    <row r="306" spans="6:6" x14ac:dyDescent="0.3">
      <c r="F306" s="6" t="str">
        <f t="shared" si="11"/>
        <v/>
      </c>
    </row>
    <row r="307" spans="6:6" x14ac:dyDescent="0.3">
      <c r="F307" s="6" t="str">
        <f t="shared" si="11"/>
        <v/>
      </c>
    </row>
    <row r="308" spans="6:6" x14ac:dyDescent="0.3">
      <c r="F308" s="6" t="str">
        <f t="shared" si="11"/>
        <v/>
      </c>
    </row>
    <row r="309" spans="6:6" x14ac:dyDescent="0.3">
      <c r="F309" s="6" t="str">
        <f t="shared" si="11"/>
        <v/>
      </c>
    </row>
    <row r="310" spans="6:6" x14ac:dyDescent="0.3">
      <c r="F310" s="6" t="str">
        <f t="shared" si="11"/>
        <v/>
      </c>
    </row>
    <row r="311" spans="6:6" x14ac:dyDescent="0.3">
      <c r="F311" s="6" t="str">
        <f t="shared" si="11"/>
        <v/>
      </c>
    </row>
    <row r="312" spans="6:6" x14ac:dyDescent="0.3">
      <c r="F312" s="6" t="str">
        <f t="shared" si="11"/>
        <v/>
      </c>
    </row>
    <row r="313" spans="6:6" x14ac:dyDescent="0.3">
      <c r="F313" s="6" t="str">
        <f t="shared" si="11"/>
        <v/>
      </c>
    </row>
    <row r="314" spans="6:6" x14ac:dyDescent="0.3">
      <c r="F314" s="6" t="str">
        <f t="shared" si="11"/>
        <v/>
      </c>
    </row>
    <row r="315" spans="6:6" x14ac:dyDescent="0.3">
      <c r="F315" s="6" t="str">
        <f t="shared" si="11"/>
        <v/>
      </c>
    </row>
    <row r="316" spans="6:6" x14ac:dyDescent="0.3">
      <c r="F316" s="6" t="str">
        <f t="shared" si="11"/>
        <v/>
      </c>
    </row>
    <row r="317" spans="6:6" x14ac:dyDescent="0.3">
      <c r="F317" s="6" t="str">
        <f t="shared" si="11"/>
        <v/>
      </c>
    </row>
    <row r="318" spans="6:6" x14ac:dyDescent="0.3">
      <c r="F318" s="6" t="str">
        <f t="shared" si="11"/>
        <v/>
      </c>
    </row>
    <row r="319" spans="6:6" x14ac:dyDescent="0.3">
      <c r="F319" s="6" t="str">
        <f t="shared" si="11"/>
        <v/>
      </c>
    </row>
    <row r="320" spans="6:6" x14ac:dyDescent="0.3">
      <c r="F320" s="6" t="str">
        <f t="shared" si="11"/>
        <v/>
      </c>
    </row>
    <row r="321" spans="6:6" x14ac:dyDescent="0.3">
      <c r="F321" s="6" t="str">
        <f t="shared" si="11"/>
        <v/>
      </c>
    </row>
    <row r="322" spans="6:6" x14ac:dyDescent="0.3">
      <c r="F322" s="6" t="str">
        <f t="shared" si="11"/>
        <v/>
      </c>
    </row>
    <row r="323" spans="6:6" x14ac:dyDescent="0.3">
      <c r="F323" s="6" t="str">
        <f t="shared" ref="F323:F386" si="12">IF(AND(ISNUMBER(G323),ISNUMBER(H323),ISNUMBER(I323)),DATE(G323,H323,I323),"")</f>
        <v/>
      </c>
    </row>
    <row r="324" spans="6:6" x14ac:dyDescent="0.3">
      <c r="F324" s="6" t="str">
        <f t="shared" si="12"/>
        <v/>
      </c>
    </row>
    <row r="325" spans="6:6" x14ac:dyDescent="0.3">
      <c r="F325" s="6" t="str">
        <f t="shared" si="12"/>
        <v/>
      </c>
    </row>
    <row r="326" spans="6:6" x14ac:dyDescent="0.3">
      <c r="F326" s="6" t="str">
        <f t="shared" si="12"/>
        <v/>
      </c>
    </row>
    <row r="327" spans="6:6" x14ac:dyDescent="0.3">
      <c r="F327" s="6" t="str">
        <f t="shared" si="12"/>
        <v/>
      </c>
    </row>
    <row r="328" spans="6:6" x14ac:dyDescent="0.3">
      <c r="F328" s="6" t="str">
        <f t="shared" si="12"/>
        <v/>
      </c>
    </row>
    <row r="329" spans="6:6" x14ac:dyDescent="0.3">
      <c r="F329" s="6" t="str">
        <f t="shared" si="12"/>
        <v/>
      </c>
    </row>
    <row r="330" spans="6:6" x14ac:dyDescent="0.3">
      <c r="F330" s="6" t="str">
        <f t="shared" si="12"/>
        <v/>
      </c>
    </row>
    <row r="331" spans="6:6" x14ac:dyDescent="0.3">
      <c r="F331" s="6" t="str">
        <f t="shared" si="12"/>
        <v/>
      </c>
    </row>
    <row r="332" spans="6:6" x14ac:dyDescent="0.3">
      <c r="F332" s="6" t="str">
        <f t="shared" si="12"/>
        <v/>
      </c>
    </row>
    <row r="333" spans="6:6" x14ac:dyDescent="0.3">
      <c r="F333" s="6" t="str">
        <f t="shared" si="12"/>
        <v/>
      </c>
    </row>
    <row r="334" spans="6:6" x14ac:dyDescent="0.3">
      <c r="F334" s="6" t="str">
        <f t="shared" si="12"/>
        <v/>
      </c>
    </row>
    <row r="335" spans="6:6" x14ac:dyDescent="0.3">
      <c r="F335" s="6" t="str">
        <f t="shared" si="12"/>
        <v/>
      </c>
    </row>
    <row r="336" spans="6:6" x14ac:dyDescent="0.3">
      <c r="F336" s="6" t="str">
        <f t="shared" si="12"/>
        <v/>
      </c>
    </row>
    <row r="337" spans="6:6" x14ac:dyDescent="0.3">
      <c r="F337" s="6" t="str">
        <f t="shared" si="12"/>
        <v/>
      </c>
    </row>
    <row r="338" spans="6:6" x14ac:dyDescent="0.3">
      <c r="F338" s="6" t="str">
        <f t="shared" si="12"/>
        <v/>
      </c>
    </row>
    <row r="339" spans="6:6" x14ac:dyDescent="0.3">
      <c r="F339" s="6" t="str">
        <f t="shared" si="12"/>
        <v/>
      </c>
    </row>
    <row r="340" spans="6:6" x14ac:dyDescent="0.3">
      <c r="F340" s="6" t="str">
        <f t="shared" si="12"/>
        <v/>
      </c>
    </row>
    <row r="341" spans="6:6" x14ac:dyDescent="0.3">
      <c r="F341" s="6" t="str">
        <f t="shared" si="12"/>
        <v/>
      </c>
    </row>
    <row r="342" spans="6:6" x14ac:dyDescent="0.3">
      <c r="F342" s="6" t="str">
        <f t="shared" si="12"/>
        <v/>
      </c>
    </row>
    <row r="343" spans="6:6" x14ac:dyDescent="0.3">
      <c r="F343" s="6" t="str">
        <f t="shared" si="12"/>
        <v/>
      </c>
    </row>
    <row r="344" spans="6:6" x14ac:dyDescent="0.3">
      <c r="F344" s="6" t="str">
        <f t="shared" si="12"/>
        <v/>
      </c>
    </row>
    <row r="345" spans="6:6" x14ac:dyDescent="0.3">
      <c r="F345" s="6" t="str">
        <f t="shared" si="12"/>
        <v/>
      </c>
    </row>
    <row r="346" spans="6:6" x14ac:dyDescent="0.3">
      <c r="F346" s="6" t="str">
        <f t="shared" si="12"/>
        <v/>
      </c>
    </row>
    <row r="347" spans="6:6" x14ac:dyDescent="0.3">
      <c r="F347" s="6" t="str">
        <f t="shared" si="12"/>
        <v/>
      </c>
    </row>
    <row r="348" spans="6:6" x14ac:dyDescent="0.3">
      <c r="F348" s="6" t="str">
        <f t="shared" si="12"/>
        <v/>
      </c>
    </row>
    <row r="349" spans="6:6" x14ac:dyDescent="0.3">
      <c r="F349" s="6" t="str">
        <f t="shared" si="12"/>
        <v/>
      </c>
    </row>
    <row r="350" spans="6:6" x14ac:dyDescent="0.3">
      <c r="F350" s="6" t="str">
        <f t="shared" si="12"/>
        <v/>
      </c>
    </row>
    <row r="351" spans="6:6" x14ac:dyDescent="0.3">
      <c r="F351" s="6" t="str">
        <f t="shared" si="12"/>
        <v/>
      </c>
    </row>
    <row r="352" spans="6:6" x14ac:dyDescent="0.3">
      <c r="F352" s="6" t="str">
        <f t="shared" si="12"/>
        <v/>
      </c>
    </row>
    <row r="353" spans="6:6" x14ac:dyDescent="0.3">
      <c r="F353" s="6" t="str">
        <f t="shared" si="12"/>
        <v/>
      </c>
    </row>
    <row r="354" spans="6:6" x14ac:dyDescent="0.3">
      <c r="F354" s="6" t="str">
        <f t="shared" si="12"/>
        <v/>
      </c>
    </row>
    <row r="355" spans="6:6" x14ac:dyDescent="0.3">
      <c r="F355" s="6" t="str">
        <f t="shared" si="12"/>
        <v/>
      </c>
    </row>
    <row r="356" spans="6:6" x14ac:dyDescent="0.3">
      <c r="F356" s="6" t="str">
        <f t="shared" si="12"/>
        <v/>
      </c>
    </row>
    <row r="357" spans="6:6" x14ac:dyDescent="0.3">
      <c r="F357" s="6" t="str">
        <f t="shared" si="12"/>
        <v/>
      </c>
    </row>
    <row r="358" spans="6:6" x14ac:dyDescent="0.3">
      <c r="F358" s="6" t="str">
        <f t="shared" si="12"/>
        <v/>
      </c>
    </row>
    <row r="359" spans="6:6" x14ac:dyDescent="0.3">
      <c r="F359" s="6" t="str">
        <f t="shared" si="12"/>
        <v/>
      </c>
    </row>
    <row r="360" spans="6:6" x14ac:dyDescent="0.3">
      <c r="F360" s="6" t="str">
        <f t="shared" si="12"/>
        <v/>
      </c>
    </row>
    <row r="361" spans="6:6" x14ac:dyDescent="0.3">
      <c r="F361" s="6" t="str">
        <f t="shared" si="12"/>
        <v/>
      </c>
    </row>
    <row r="362" spans="6:6" x14ac:dyDescent="0.3">
      <c r="F362" s="6" t="str">
        <f t="shared" si="12"/>
        <v/>
      </c>
    </row>
    <row r="363" spans="6:6" x14ac:dyDescent="0.3">
      <c r="F363" s="6" t="str">
        <f t="shared" si="12"/>
        <v/>
      </c>
    </row>
    <row r="364" spans="6:6" x14ac:dyDescent="0.3">
      <c r="F364" s="6" t="str">
        <f t="shared" si="12"/>
        <v/>
      </c>
    </row>
    <row r="365" spans="6:6" x14ac:dyDescent="0.3">
      <c r="F365" s="6" t="str">
        <f t="shared" si="12"/>
        <v/>
      </c>
    </row>
    <row r="366" spans="6:6" x14ac:dyDescent="0.3">
      <c r="F366" s="6" t="str">
        <f t="shared" si="12"/>
        <v/>
      </c>
    </row>
    <row r="367" spans="6:6" x14ac:dyDescent="0.3">
      <c r="F367" s="6" t="str">
        <f t="shared" si="12"/>
        <v/>
      </c>
    </row>
    <row r="368" spans="6:6" x14ac:dyDescent="0.3">
      <c r="F368" s="6" t="str">
        <f t="shared" si="12"/>
        <v/>
      </c>
    </row>
    <row r="369" spans="6:6" x14ac:dyDescent="0.3">
      <c r="F369" s="6" t="str">
        <f t="shared" si="12"/>
        <v/>
      </c>
    </row>
    <row r="370" spans="6:6" x14ac:dyDescent="0.3">
      <c r="F370" s="6" t="str">
        <f t="shared" si="12"/>
        <v/>
      </c>
    </row>
    <row r="371" spans="6:6" x14ac:dyDescent="0.3">
      <c r="F371" s="6" t="str">
        <f t="shared" si="12"/>
        <v/>
      </c>
    </row>
    <row r="372" spans="6:6" x14ac:dyDescent="0.3">
      <c r="F372" s="6" t="str">
        <f t="shared" si="12"/>
        <v/>
      </c>
    </row>
    <row r="373" spans="6:6" x14ac:dyDescent="0.3">
      <c r="F373" s="6" t="str">
        <f t="shared" si="12"/>
        <v/>
      </c>
    </row>
    <row r="374" spans="6:6" x14ac:dyDescent="0.3">
      <c r="F374" s="6" t="str">
        <f t="shared" si="12"/>
        <v/>
      </c>
    </row>
    <row r="375" spans="6:6" x14ac:dyDescent="0.3">
      <c r="F375" s="6" t="str">
        <f t="shared" si="12"/>
        <v/>
      </c>
    </row>
    <row r="376" spans="6:6" x14ac:dyDescent="0.3">
      <c r="F376" s="6" t="str">
        <f t="shared" si="12"/>
        <v/>
      </c>
    </row>
    <row r="377" spans="6:6" x14ac:dyDescent="0.3">
      <c r="F377" s="6" t="str">
        <f t="shared" si="12"/>
        <v/>
      </c>
    </row>
    <row r="378" spans="6:6" x14ac:dyDescent="0.3">
      <c r="F378" s="6" t="str">
        <f t="shared" si="12"/>
        <v/>
      </c>
    </row>
    <row r="379" spans="6:6" x14ac:dyDescent="0.3">
      <c r="F379" s="6" t="str">
        <f t="shared" si="12"/>
        <v/>
      </c>
    </row>
    <row r="380" spans="6:6" x14ac:dyDescent="0.3">
      <c r="F380" s="6" t="str">
        <f t="shared" si="12"/>
        <v/>
      </c>
    </row>
    <row r="381" spans="6:6" x14ac:dyDescent="0.3">
      <c r="F381" s="6" t="str">
        <f t="shared" si="12"/>
        <v/>
      </c>
    </row>
    <row r="382" spans="6:6" x14ac:dyDescent="0.3">
      <c r="F382" s="6" t="str">
        <f t="shared" si="12"/>
        <v/>
      </c>
    </row>
    <row r="383" spans="6:6" x14ac:dyDescent="0.3">
      <c r="F383" s="6" t="str">
        <f t="shared" si="12"/>
        <v/>
      </c>
    </row>
    <row r="384" spans="6:6" x14ac:dyDescent="0.3">
      <c r="F384" s="6" t="str">
        <f t="shared" si="12"/>
        <v/>
      </c>
    </row>
    <row r="385" spans="6:6" x14ac:dyDescent="0.3">
      <c r="F385" s="6" t="str">
        <f t="shared" si="12"/>
        <v/>
      </c>
    </row>
    <row r="386" spans="6:6" x14ac:dyDescent="0.3">
      <c r="F386" s="6" t="str">
        <f t="shared" si="12"/>
        <v/>
      </c>
    </row>
    <row r="387" spans="6:6" x14ac:dyDescent="0.3">
      <c r="F387" s="6" t="str">
        <f t="shared" ref="F387:F450" si="13">IF(AND(ISNUMBER(G387),ISNUMBER(H387),ISNUMBER(I387)),DATE(G387,H387,I387),"")</f>
        <v/>
      </c>
    </row>
    <row r="388" spans="6:6" x14ac:dyDescent="0.3">
      <c r="F388" s="6" t="str">
        <f t="shared" si="13"/>
        <v/>
      </c>
    </row>
    <row r="389" spans="6:6" x14ac:dyDescent="0.3">
      <c r="F389" s="6" t="str">
        <f t="shared" si="13"/>
        <v/>
      </c>
    </row>
    <row r="390" spans="6:6" x14ac:dyDescent="0.3">
      <c r="F390" s="6" t="str">
        <f t="shared" si="13"/>
        <v/>
      </c>
    </row>
    <row r="391" spans="6:6" x14ac:dyDescent="0.3">
      <c r="F391" s="6" t="str">
        <f t="shared" si="13"/>
        <v/>
      </c>
    </row>
    <row r="392" spans="6:6" x14ac:dyDescent="0.3">
      <c r="F392" s="6" t="str">
        <f t="shared" si="13"/>
        <v/>
      </c>
    </row>
    <row r="393" spans="6:6" x14ac:dyDescent="0.3">
      <c r="F393" s="6" t="str">
        <f t="shared" si="13"/>
        <v/>
      </c>
    </row>
    <row r="394" spans="6:6" x14ac:dyDescent="0.3">
      <c r="F394" s="6" t="str">
        <f t="shared" si="13"/>
        <v/>
      </c>
    </row>
    <row r="395" spans="6:6" x14ac:dyDescent="0.3">
      <c r="F395" s="6" t="str">
        <f t="shared" si="13"/>
        <v/>
      </c>
    </row>
    <row r="396" spans="6:6" x14ac:dyDescent="0.3">
      <c r="F396" s="6" t="str">
        <f t="shared" si="13"/>
        <v/>
      </c>
    </row>
    <row r="397" spans="6:6" x14ac:dyDescent="0.3">
      <c r="F397" s="6" t="str">
        <f t="shared" si="13"/>
        <v/>
      </c>
    </row>
    <row r="398" spans="6:6" x14ac:dyDescent="0.3">
      <c r="F398" s="6" t="str">
        <f t="shared" si="13"/>
        <v/>
      </c>
    </row>
    <row r="399" spans="6:6" x14ac:dyDescent="0.3">
      <c r="F399" s="6" t="str">
        <f t="shared" si="13"/>
        <v/>
      </c>
    </row>
    <row r="400" spans="6:6" x14ac:dyDescent="0.3">
      <c r="F400" s="6" t="str">
        <f t="shared" si="13"/>
        <v/>
      </c>
    </row>
    <row r="401" spans="6:6" x14ac:dyDescent="0.3">
      <c r="F401" s="6" t="str">
        <f t="shared" si="13"/>
        <v/>
      </c>
    </row>
    <row r="402" spans="6:6" x14ac:dyDescent="0.3">
      <c r="F402" s="6" t="str">
        <f t="shared" si="13"/>
        <v/>
      </c>
    </row>
    <row r="403" spans="6:6" x14ac:dyDescent="0.3">
      <c r="F403" s="6" t="str">
        <f t="shared" si="13"/>
        <v/>
      </c>
    </row>
    <row r="404" spans="6:6" x14ac:dyDescent="0.3">
      <c r="F404" s="6" t="str">
        <f t="shared" si="13"/>
        <v/>
      </c>
    </row>
    <row r="405" spans="6:6" x14ac:dyDescent="0.3">
      <c r="F405" s="6" t="str">
        <f t="shared" si="13"/>
        <v/>
      </c>
    </row>
    <row r="406" spans="6:6" x14ac:dyDescent="0.3">
      <c r="F406" s="6" t="str">
        <f t="shared" si="13"/>
        <v/>
      </c>
    </row>
    <row r="407" spans="6:6" x14ac:dyDescent="0.3">
      <c r="F407" s="6" t="str">
        <f t="shared" si="13"/>
        <v/>
      </c>
    </row>
    <row r="408" spans="6:6" x14ac:dyDescent="0.3">
      <c r="F408" s="6" t="str">
        <f t="shared" si="13"/>
        <v/>
      </c>
    </row>
    <row r="409" spans="6:6" x14ac:dyDescent="0.3">
      <c r="F409" s="6" t="str">
        <f t="shared" si="13"/>
        <v/>
      </c>
    </row>
    <row r="410" spans="6:6" x14ac:dyDescent="0.3">
      <c r="F410" s="6" t="str">
        <f t="shared" si="13"/>
        <v/>
      </c>
    </row>
    <row r="411" spans="6:6" x14ac:dyDescent="0.3">
      <c r="F411" s="6" t="str">
        <f t="shared" si="13"/>
        <v/>
      </c>
    </row>
    <row r="412" spans="6:6" x14ac:dyDescent="0.3">
      <c r="F412" s="6" t="str">
        <f t="shared" si="13"/>
        <v/>
      </c>
    </row>
    <row r="413" spans="6:6" x14ac:dyDescent="0.3">
      <c r="F413" s="6" t="str">
        <f t="shared" si="13"/>
        <v/>
      </c>
    </row>
    <row r="414" spans="6:6" x14ac:dyDescent="0.3">
      <c r="F414" s="6" t="str">
        <f t="shared" si="13"/>
        <v/>
      </c>
    </row>
    <row r="415" spans="6:6" x14ac:dyDescent="0.3">
      <c r="F415" s="6" t="str">
        <f t="shared" si="13"/>
        <v/>
      </c>
    </row>
    <row r="416" spans="6:6" x14ac:dyDescent="0.3">
      <c r="F416" s="6" t="str">
        <f t="shared" si="13"/>
        <v/>
      </c>
    </row>
    <row r="417" spans="6:6" x14ac:dyDescent="0.3">
      <c r="F417" s="6" t="str">
        <f t="shared" si="13"/>
        <v/>
      </c>
    </row>
    <row r="418" spans="6:6" x14ac:dyDescent="0.3">
      <c r="F418" s="6" t="str">
        <f t="shared" si="13"/>
        <v/>
      </c>
    </row>
    <row r="419" spans="6:6" x14ac:dyDescent="0.3">
      <c r="F419" s="6" t="str">
        <f t="shared" si="13"/>
        <v/>
      </c>
    </row>
    <row r="420" spans="6:6" x14ac:dyDescent="0.3">
      <c r="F420" s="6" t="str">
        <f t="shared" si="13"/>
        <v/>
      </c>
    </row>
    <row r="421" spans="6:6" x14ac:dyDescent="0.3">
      <c r="F421" s="6" t="str">
        <f t="shared" si="13"/>
        <v/>
      </c>
    </row>
    <row r="422" spans="6:6" x14ac:dyDescent="0.3">
      <c r="F422" s="6" t="str">
        <f t="shared" si="13"/>
        <v/>
      </c>
    </row>
    <row r="423" spans="6:6" x14ac:dyDescent="0.3">
      <c r="F423" s="6" t="str">
        <f t="shared" si="13"/>
        <v/>
      </c>
    </row>
    <row r="424" spans="6:6" x14ac:dyDescent="0.3">
      <c r="F424" s="6" t="str">
        <f t="shared" si="13"/>
        <v/>
      </c>
    </row>
    <row r="425" spans="6:6" x14ac:dyDescent="0.3">
      <c r="F425" s="6" t="str">
        <f t="shared" si="13"/>
        <v/>
      </c>
    </row>
    <row r="426" spans="6:6" x14ac:dyDescent="0.3">
      <c r="F426" s="6" t="str">
        <f t="shared" si="13"/>
        <v/>
      </c>
    </row>
    <row r="427" spans="6:6" x14ac:dyDescent="0.3">
      <c r="F427" s="6" t="str">
        <f t="shared" si="13"/>
        <v/>
      </c>
    </row>
    <row r="428" spans="6:6" x14ac:dyDescent="0.3">
      <c r="F428" s="6" t="str">
        <f t="shared" si="13"/>
        <v/>
      </c>
    </row>
    <row r="429" spans="6:6" x14ac:dyDescent="0.3">
      <c r="F429" s="6" t="str">
        <f t="shared" si="13"/>
        <v/>
      </c>
    </row>
    <row r="430" spans="6:6" x14ac:dyDescent="0.3">
      <c r="F430" s="6" t="str">
        <f t="shared" si="13"/>
        <v/>
      </c>
    </row>
    <row r="431" spans="6:6" x14ac:dyDescent="0.3">
      <c r="F431" s="6" t="str">
        <f t="shared" si="13"/>
        <v/>
      </c>
    </row>
    <row r="432" spans="6:6" x14ac:dyDescent="0.3">
      <c r="F432" s="6" t="str">
        <f t="shared" si="13"/>
        <v/>
      </c>
    </row>
    <row r="433" spans="6:6" x14ac:dyDescent="0.3">
      <c r="F433" s="6" t="str">
        <f t="shared" si="13"/>
        <v/>
      </c>
    </row>
    <row r="434" spans="6:6" x14ac:dyDescent="0.3">
      <c r="F434" s="6" t="str">
        <f t="shared" si="13"/>
        <v/>
      </c>
    </row>
    <row r="435" spans="6:6" x14ac:dyDescent="0.3">
      <c r="F435" s="6" t="str">
        <f t="shared" si="13"/>
        <v/>
      </c>
    </row>
    <row r="436" spans="6:6" x14ac:dyDescent="0.3">
      <c r="F436" s="6" t="str">
        <f t="shared" si="13"/>
        <v/>
      </c>
    </row>
    <row r="437" spans="6:6" x14ac:dyDescent="0.3">
      <c r="F437" s="6" t="str">
        <f t="shared" si="13"/>
        <v/>
      </c>
    </row>
    <row r="438" spans="6:6" x14ac:dyDescent="0.3">
      <c r="F438" s="6" t="str">
        <f t="shared" si="13"/>
        <v/>
      </c>
    </row>
    <row r="439" spans="6:6" x14ac:dyDescent="0.3">
      <c r="F439" s="6" t="str">
        <f t="shared" si="13"/>
        <v/>
      </c>
    </row>
    <row r="440" spans="6:6" x14ac:dyDescent="0.3">
      <c r="F440" s="6" t="str">
        <f t="shared" si="13"/>
        <v/>
      </c>
    </row>
    <row r="441" spans="6:6" x14ac:dyDescent="0.3">
      <c r="F441" s="6" t="str">
        <f t="shared" si="13"/>
        <v/>
      </c>
    </row>
    <row r="442" spans="6:6" x14ac:dyDescent="0.3">
      <c r="F442" s="6" t="str">
        <f t="shared" si="13"/>
        <v/>
      </c>
    </row>
    <row r="443" spans="6:6" x14ac:dyDescent="0.3">
      <c r="F443" s="6" t="str">
        <f t="shared" si="13"/>
        <v/>
      </c>
    </row>
    <row r="444" spans="6:6" x14ac:dyDescent="0.3">
      <c r="F444" s="6" t="str">
        <f t="shared" si="13"/>
        <v/>
      </c>
    </row>
    <row r="445" spans="6:6" x14ac:dyDescent="0.3">
      <c r="F445" s="6" t="str">
        <f t="shared" si="13"/>
        <v/>
      </c>
    </row>
    <row r="446" spans="6:6" x14ac:dyDescent="0.3">
      <c r="F446" s="6" t="str">
        <f t="shared" si="13"/>
        <v/>
      </c>
    </row>
    <row r="447" spans="6:6" x14ac:dyDescent="0.3">
      <c r="F447" s="6" t="str">
        <f t="shared" si="13"/>
        <v/>
      </c>
    </row>
    <row r="448" spans="6:6" x14ac:dyDescent="0.3">
      <c r="F448" s="6" t="str">
        <f t="shared" si="13"/>
        <v/>
      </c>
    </row>
    <row r="449" spans="6:6" x14ac:dyDescent="0.3">
      <c r="F449" s="6" t="str">
        <f t="shared" si="13"/>
        <v/>
      </c>
    </row>
    <row r="450" spans="6:6" x14ac:dyDescent="0.3">
      <c r="F450" s="6" t="str">
        <f t="shared" si="13"/>
        <v/>
      </c>
    </row>
    <row r="451" spans="6:6" x14ac:dyDescent="0.3">
      <c r="F451" s="6" t="str">
        <f t="shared" ref="F451:F514" si="14">IF(AND(ISNUMBER(G451),ISNUMBER(H451),ISNUMBER(I451)),DATE(G451,H451,I451),"")</f>
        <v/>
      </c>
    </row>
    <row r="452" spans="6:6" x14ac:dyDescent="0.3">
      <c r="F452" s="6" t="str">
        <f t="shared" si="14"/>
        <v/>
      </c>
    </row>
    <row r="453" spans="6:6" x14ac:dyDescent="0.3">
      <c r="F453" s="6" t="str">
        <f t="shared" si="14"/>
        <v/>
      </c>
    </row>
    <row r="454" spans="6:6" x14ac:dyDescent="0.3">
      <c r="F454" s="6" t="str">
        <f t="shared" si="14"/>
        <v/>
      </c>
    </row>
    <row r="455" spans="6:6" x14ac:dyDescent="0.3">
      <c r="F455" s="6" t="str">
        <f t="shared" si="14"/>
        <v/>
      </c>
    </row>
    <row r="456" spans="6:6" x14ac:dyDescent="0.3">
      <c r="F456" s="6" t="str">
        <f t="shared" si="14"/>
        <v/>
      </c>
    </row>
    <row r="457" spans="6:6" x14ac:dyDescent="0.3">
      <c r="F457" s="6" t="str">
        <f t="shared" si="14"/>
        <v/>
      </c>
    </row>
    <row r="458" spans="6:6" x14ac:dyDescent="0.3">
      <c r="F458" s="6" t="str">
        <f t="shared" si="14"/>
        <v/>
      </c>
    </row>
    <row r="459" spans="6:6" x14ac:dyDescent="0.3">
      <c r="F459" s="6" t="str">
        <f t="shared" si="14"/>
        <v/>
      </c>
    </row>
    <row r="460" spans="6:6" x14ac:dyDescent="0.3">
      <c r="F460" s="6" t="str">
        <f t="shared" si="14"/>
        <v/>
      </c>
    </row>
    <row r="461" spans="6:6" x14ac:dyDescent="0.3">
      <c r="F461" s="6" t="str">
        <f t="shared" si="14"/>
        <v/>
      </c>
    </row>
    <row r="462" spans="6:6" x14ac:dyDescent="0.3">
      <c r="F462" s="6" t="str">
        <f t="shared" si="14"/>
        <v/>
      </c>
    </row>
    <row r="463" spans="6:6" x14ac:dyDescent="0.3">
      <c r="F463" s="6" t="str">
        <f t="shared" si="14"/>
        <v/>
      </c>
    </row>
    <row r="464" spans="6:6" x14ac:dyDescent="0.3">
      <c r="F464" s="6" t="str">
        <f t="shared" si="14"/>
        <v/>
      </c>
    </row>
    <row r="465" spans="6:6" x14ac:dyDescent="0.3">
      <c r="F465" s="6" t="str">
        <f t="shared" si="14"/>
        <v/>
      </c>
    </row>
    <row r="466" spans="6:6" x14ac:dyDescent="0.3">
      <c r="F466" s="6" t="str">
        <f t="shared" si="14"/>
        <v/>
      </c>
    </row>
    <row r="467" spans="6:6" x14ac:dyDescent="0.3">
      <c r="F467" s="6" t="str">
        <f t="shared" si="14"/>
        <v/>
      </c>
    </row>
    <row r="468" spans="6:6" x14ac:dyDescent="0.3">
      <c r="F468" s="6" t="str">
        <f t="shared" si="14"/>
        <v/>
      </c>
    </row>
    <row r="469" spans="6:6" x14ac:dyDescent="0.3">
      <c r="F469" s="6" t="str">
        <f t="shared" si="14"/>
        <v/>
      </c>
    </row>
    <row r="470" spans="6:6" x14ac:dyDescent="0.3">
      <c r="F470" s="6" t="str">
        <f t="shared" si="14"/>
        <v/>
      </c>
    </row>
    <row r="471" spans="6:6" x14ac:dyDescent="0.3">
      <c r="F471" s="6" t="str">
        <f t="shared" si="14"/>
        <v/>
      </c>
    </row>
    <row r="472" spans="6:6" x14ac:dyDescent="0.3">
      <c r="F472" s="6" t="str">
        <f t="shared" si="14"/>
        <v/>
      </c>
    </row>
    <row r="473" spans="6:6" x14ac:dyDescent="0.3">
      <c r="F473" s="6" t="str">
        <f t="shared" si="14"/>
        <v/>
      </c>
    </row>
    <row r="474" spans="6:6" x14ac:dyDescent="0.3">
      <c r="F474" s="6" t="str">
        <f t="shared" si="14"/>
        <v/>
      </c>
    </row>
    <row r="475" spans="6:6" x14ac:dyDescent="0.3">
      <c r="F475" s="6" t="str">
        <f t="shared" si="14"/>
        <v/>
      </c>
    </row>
    <row r="476" spans="6:6" x14ac:dyDescent="0.3">
      <c r="F476" s="6" t="str">
        <f t="shared" si="14"/>
        <v/>
      </c>
    </row>
    <row r="477" spans="6:6" x14ac:dyDescent="0.3">
      <c r="F477" s="6" t="str">
        <f t="shared" si="14"/>
        <v/>
      </c>
    </row>
    <row r="478" spans="6:6" x14ac:dyDescent="0.3">
      <c r="F478" s="6" t="str">
        <f t="shared" si="14"/>
        <v/>
      </c>
    </row>
    <row r="479" spans="6:6" x14ac:dyDescent="0.3">
      <c r="F479" s="6" t="str">
        <f t="shared" si="14"/>
        <v/>
      </c>
    </row>
    <row r="480" spans="6:6" x14ac:dyDescent="0.3">
      <c r="F480" s="6" t="str">
        <f t="shared" si="14"/>
        <v/>
      </c>
    </row>
    <row r="481" spans="6:6" x14ac:dyDescent="0.3">
      <c r="F481" s="6" t="str">
        <f t="shared" si="14"/>
        <v/>
      </c>
    </row>
    <row r="482" spans="6:6" x14ac:dyDescent="0.3">
      <c r="F482" s="6" t="str">
        <f t="shared" si="14"/>
        <v/>
      </c>
    </row>
    <row r="483" spans="6:6" x14ac:dyDescent="0.3">
      <c r="F483" s="6" t="str">
        <f t="shared" si="14"/>
        <v/>
      </c>
    </row>
    <row r="484" spans="6:6" x14ac:dyDescent="0.3">
      <c r="F484" s="6" t="str">
        <f t="shared" si="14"/>
        <v/>
      </c>
    </row>
    <row r="485" spans="6:6" x14ac:dyDescent="0.3">
      <c r="F485" s="6" t="str">
        <f t="shared" si="14"/>
        <v/>
      </c>
    </row>
    <row r="486" spans="6:6" x14ac:dyDescent="0.3">
      <c r="F486" s="6" t="str">
        <f t="shared" si="14"/>
        <v/>
      </c>
    </row>
    <row r="487" spans="6:6" x14ac:dyDescent="0.3">
      <c r="F487" s="6" t="str">
        <f t="shared" si="14"/>
        <v/>
      </c>
    </row>
    <row r="488" spans="6:6" x14ac:dyDescent="0.3">
      <c r="F488" s="6" t="str">
        <f t="shared" si="14"/>
        <v/>
      </c>
    </row>
    <row r="489" spans="6:6" x14ac:dyDescent="0.3">
      <c r="F489" s="6" t="str">
        <f t="shared" si="14"/>
        <v/>
      </c>
    </row>
    <row r="490" spans="6:6" x14ac:dyDescent="0.3">
      <c r="F490" s="6" t="str">
        <f t="shared" si="14"/>
        <v/>
      </c>
    </row>
    <row r="491" spans="6:6" x14ac:dyDescent="0.3">
      <c r="F491" s="6" t="str">
        <f t="shared" si="14"/>
        <v/>
      </c>
    </row>
    <row r="492" spans="6:6" x14ac:dyDescent="0.3">
      <c r="F492" s="6" t="str">
        <f t="shared" si="14"/>
        <v/>
      </c>
    </row>
    <row r="493" spans="6:6" x14ac:dyDescent="0.3">
      <c r="F493" s="6" t="str">
        <f t="shared" si="14"/>
        <v/>
      </c>
    </row>
    <row r="494" spans="6:6" x14ac:dyDescent="0.3">
      <c r="F494" s="6" t="str">
        <f t="shared" si="14"/>
        <v/>
      </c>
    </row>
    <row r="495" spans="6:6" x14ac:dyDescent="0.3">
      <c r="F495" s="6" t="str">
        <f t="shared" si="14"/>
        <v/>
      </c>
    </row>
    <row r="496" spans="6:6" x14ac:dyDescent="0.3">
      <c r="F496" s="6" t="str">
        <f t="shared" si="14"/>
        <v/>
      </c>
    </row>
    <row r="497" spans="6:6" x14ac:dyDescent="0.3">
      <c r="F497" s="6" t="str">
        <f t="shared" si="14"/>
        <v/>
      </c>
    </row>
    <row r="498" spans="6:6" x14ac:dyDescent="0.3">
      <c r="F498" s="6" t="str">
        <f t="shared" si="14"/>
        <v/>
      </c>
    </row>
    <row r="499" spans="6:6" x14ac:dyDescent="0.3">
      <c r="F499" s="6" t="str">
        <f t="shared" si="14"/>
        <v/>
      </c>
    </row>
    <row r="500" spans="6:6" x14ac:dyDescent="0.3">
      <c r="F500" s="6" t="str">
        <f t="shared" si="14"/>
        <v/>
      </c>
    </row>
    <row r="501" spans="6:6" x14ac:dyDescent="0.3">
      <c r="F501" s="6" t="str">
        <f t="shared" si="14"/>
        <v/>
      </c>
    </row>
    <row r="502" spans="6:6" x14ac:dyDescent="0.3">
      <c r="F502" s="6" t="str">
        <f t="shared" si="14"/>
        <v/>
      </c>
    </row>
    <row r="503" spans="6:6" x14ac:dyDescent="0.3">
      <c r="F503" s="6" t="str">
        <f t="shared" si="14"/>
        <v/>
      </c>
    </row>
    <row r="504" spans="6:6" x14ac:dyDescent="0.3">
      <c r="F504" s="6" t="str">
        <f t="shared" si="14"/>
        <v/>
      </c>
    </row>
    <row r="505" spans="6:6" x14ac:dyDescent="0.3">
      <c r="F505" s="6" t="str">
        <f t="shared" si="14"/>
        <v/>
      </c>
    </row>
    <row r="506" spans="6:6" x14ac:dyDescent="0.3">
      <c r="F506" s="6" t="str">
        <f t="shared" si="14"/>
        <v/>
      </c>
    </row>
    <row r="507" spans="6:6" x14ac:dyDescent="0.3">
      <c r="F507" s="6" t="str">
        <f t="shared" si="14"/>
        <v/>
      </c>
    </row>
    <row r="508" spans="6:6" x14ac:dyDescent="0.3">
      <c r="F508" s="6" t="str">
        <f t="shared" si="14"/>
        <v/>
      </c>
    </row>
    <row r="509" spans="6:6" x14ac:dyDescent="0.3">
      <c r="F509" s="6" t="str">
        <f t="shared" si="14"/>
        <v/>
      </c>
    </row>
    <row r="510" spans="6:6" x14ac:dyDescent="0.3">
      <c r="F510" s="6" t="str">
        <f t="shared" si="14"/>
        <v/>
      </c>
    </row>
    <row r="511" spans="6:6" x14ac:dyDescent="0.3">
      <c r="F511" s="6" t="str">
        <f t="shared" si="14"/>
        <v/>
      </c>
    </row>
    <row r="512" spans="6:6" x14ac:dyDescent="0.3">
      <c r="F512" s="6" t="str">
        <f t="shared" si="14"/>
        <v/>
      </c>
    </row>
    <row r="513" spans="6:6" x14ac:dyDescent="0.3">
      <c r="F513" s="6" t="str">
        <f t="shared" si="14"/>
        <v/>
      </c>
    </row>
    <row r="514" spans="6:6" x14ac:dyDescent="0.3">
      <c r="F514" s="6" t="str">
        <f t="shared" si="14"/>
        <v/>
      </c>
    </row>
    <row r="515" spans="6:6" x14ac:dyDescent="0.3">
      <c r="F515" s="6" t="str">
        <f t="shared" ref="F515:F578" si="15">IF(AND(ISNUMBER(G515),ISNUMBER(H515),ISNUMBER(I515)),DATE(G515,H515,I515),"")</f>
        <v/>
      </c>
    </row>
    <row r="516" spans="6:6" x14ac:dyDescent="0.3">
      <c r="F516" s="6" t="str">
        <f t="shared" si="15"/>
        <v/>
      </c>
    </row>
    <row r="517" spans="6:6" x14ac:dyDescent="0.3">
      <c r="F517" s="6" t="str">
        <f t="shared" si="15"/>
        <v/>
      </c>
    </row>
    <row r="518" spans="6:6" x14ac:dyDescent="0.3">
      <c r="F518" s="6" t="str">
        <f t="shared" si="15"/>
        <v/>
      </c>
    </row>
    <row r="519" spans="6:6" x14ac:dyDescent="0.3">
      <c r="F519" s="6" t="str">
        <f t="shared" si="15"/>
        <v/>
      </c>
    </row>
    <row r="520" spans="6:6" x14ac:dyDescent="0.3">
      <c r="F520" s="6" t="str">
        <f t="shared" si="15"/>
        <v/>
      </c>
    </row>
    <row r="521" spans="6:6" x14ac:dyDescent="0.3">
      <c r="F521" s="6" t="str">
        <f t="shared" si="15"/>
        <v/>
      </c>
    </row>
    <row r="522" spans="6:6" x14ac:dyDescent="0.3">
      <c r="F522" s="6" t="str">
        <f t="shared" si="15"/>
        <v/>
      </c>
    </row>
    <row r="523" spans="6:6" x14ac:dyDescent="0.3">
      <c r="F523" s="6" t="str">
        <f t="shared" si="15"/>
        <v/>
      </c>
    </row>
    <row r="524" spans="6:6" x14ac:dyDescent="0.3">
      <c r="F524" s="6" t="str">
        <f t="shared" si="15"/>
        <v/>
      </c>
    </row>
    <row r="525" spans="6:6" x14ac:dyDescent="0.3">
      <c r="F525" s="6" t="str">
        <f t="shared" si="15"/>
        <v/>
      </c>
    </row>
    <row r="526" spans="6:6" x14ac:dyDescent="0.3">
      <c r="F526" s="6" t="str">
        <f t="shared" si="15"/>
        <v/>
      </c>
    </row>
    <row r="527" spans="6:6" x14ac:dyDescent="0.3">
      <c r="F527" s="6" t="str">
        <f t="shared" si="15"/>
        <v/>
      </c>
    </row>
    <row r="528" spans="6:6" x14ac:dyDescent="0.3">
      <c r="F528" s="6" t="str">
        <f t="shared" si="15"/>
        <v/>
      </c>
    </row>
    <row r="529" spans="6:6" x14ac:dyDescent="0.3">
      <c r="F529" s="6" t="str">
        <f t="shared" si="15"/>
        <v/>
      </c>
    </row>
    <row r="530" spans="6:6" x14ac:dyDescent="0.3">
      <c r="F530" s="6" t="str">
        <f t="shared" si="15"/>
        <v/>
      </c>
    </row>
    <row r="531" spans="6:6" x14ac:dyDescent="0.3">
      <c r="F531" s="6" t="str">
        <f t="shared" si="15"/>
        <v/>
      </c>
    </row>
    <row r="532" spans="6:6" x14ac:dyDescent="0.3">
      <c r="F532" s="6" t="str">
        <f t="shared" si="15"/>
        <v/>
      </c>
    </row>
    <row r="533" spans="6:6" x14ac:dyDescent="0.3">
      <c r="F533" s="6" t="str">
        <f t="shared" si="15"/>
        <v/>
      </c>
    </row>
    <row r="534" spans="6:6" x14ac:dyDescent="0.3">
      <c r="F534" s="6" t="str">
        <f t="shared" si="15"/>
        <v/>
      </c>
    </row>
    <row r="535" spans="6:6" x14ac:dyDescent="0.3">
      <c r="F535" s="6" t="str">
        <f t="shared" si="15"/>
        <v/>
      </c>
    </row>
    <row r="536" spans="6:6" x14ac:dyDescent="0.3">
      <c r="F536" s="6" t="str">
        <f t="shared" si="15"/>
        <v/>
      </c>
    </row>
    <row r="537" spans="6:6" x14ac:dyDescent="0.3">
      <c r="F537" s="6" t="str">
        <f t="shared" si="15"/>
        <v/>
      </c>
    </row>
    <row r="538" spans="6:6" x14ac:dyDescent="0.3">
      <c r="F538" s="6" t="str">
        <f t="shared" si="15"/>
        <v/>
      </c>
    </row>
    <row r="539" spans="6:6" x14ac:dyDescent="0.3">
      <c r="F539" s="6" t="str">
        <f t="shared" si="15"/>
        <v/>
      </c>
    </row>
    <row r="540" spans="6:6" x14ac:dyDescent="0.3">
      <c r="F540" s="6" t="str">
        <f t="shared" si="15"/>
        <v/>
      </c>
    </row>
    <row r="541" spans="6:6" x14ac:dyDescent="0.3">
      <c r="F541" s="6" t="str">
        <f t="shared" si="15"/>
        <v/>
      </c>
    </row>
    <row r="542" spans="6:6" x14ac:dyDescent="0.3">
      <c r="F542" s="6" t="str">
        <f t="shared" si="15"/>
        <v/>
      </c>
    </row>
    <row r="543" spans="6:6" x14ac:dyDescent="0.3">
      <c r="F543" s="6" t="str">
        <f t="shared" si="15"/>
        <v/>
      </c>
    </row>
    <row r="544" spans="6:6" x14ac:dyDescent="0.3">
      <c r="F544" s="6" t="str">
        <f t="shared" si="15"/>
        <v/>
      </c>
    </row>
    <row r="545" spans="6:6" x14ac:dyDescent="0.3">
      <c r="F545" s="6" t="str">
        <f t="shared" si="15"/>
        <v/>
      </c>
    </row>
    <row r="546" spans="6:6" x14ac:dyDescent="0.3">
      <c r="F546" s="6" t="str">
        <f t="shared" si="15"/>
        <v/>
      </c>
    </row>
    <row r="547" spans="6:6" x14ac:dyDescent="0.3">
      <c r="F547" s="6" t="str">
        <f t="shared" si="15"/>
        <v/>
      </c>
    </row>
    <row r="548" spans="6:6" x14ac:dyDescent="0.3">
      <c r="F548" s="6" t="str">
        <f t="shared" si="15"/>
        <v/>
      </c>
    </row>
    <row r="549" spans="6:6" x14ac:dyDescent="0.3">
      <c r="F549" s="6" t="str">
        <f t="shared" si="15"/>
        <v/>
      </c>
    </row>
    <row r="550" spans="6:6" x14ac:dyDescent="0.3">
      <c r="F550" s="6" t="str">
        <f t="shared" si="15"/>
        <v/>
      </c>
    </row>
    <row r="551" spans="6:6" x14ac:dyDescent="0.3">
      <c r="F551" s="6" t="str">
        <f t="shared" si="15"/>
        <v/>
      </c>
    </row>
    <row r="552" spans="6:6" x14ac:dyDescent="0.3">
      <c r="F552" s="6" t="str">
        <f t="shared" si="15"/>
        <v/>
      </c>
    </row>
    <row r="553" spans="6:6" x14ac:dyDescent="0.3">
      <c r="F553" s="6" t="str">
        <f t="shared" si="15"/>
        <v/>
      </c>
    </row>
    <row r="554" spans="6:6" x14ac:dyDescent="0.3">
      <c r="F554" s="6" t="str">
        <f t="shared" si="15"/>
        <v/>
      </c>
    </row>
    <row r="555" spans="6:6" x14ac:dyDescent="0.3">
      <c r="F555" s="6" t="str">
        <f t="shared" si="15"/>
        <v/>
      </c>
    </row>
    <row r="556" spans="6:6" x14ac:dyDescent="0.3">
      <c r="F556" s="6" t="str">
        <f t="shared" si="15"/>
        <v/>
      </c>
    </row>
    <row r="557" spans="6:6" x14ac:dyDescent="0.3">
      <c r="F557" s="6" t="str">
        <f t="shared" si="15"/>
        <v/>
      </c>
    </row>
    <row r="558" spans="6:6" x14ac:dyDescent="0.3">
      <c r="F558" s="6" t="str">
        <f t="shared" si="15"/>
        <v/>
      </c>
    </row>
    <row r="559" spans="6:6" x14ac:dyDescent="0.3">
      <c r="F559" s="6" t="str">
        <f t="shared" si="15"/>
        <v/>
      </c>
    </row>
    <row r="560" spans="6:6" x14ac:dyDescent="0.3">
      <c r="F560" s="6" t="str">
        <f t="shared" si="15"/>
        <v/>
      </c>
    </row>
    <row r="561" spans="6:6" x14ac:dyDescent="0.3">
      <c r="F561" s="6" t="str">
        <f t="shared" si="15"/>
        <v/>
      </c>
    </row>
    <row r="562" spans="6:6" x14ac:dyDescent="0.3">
      <c r="F562" s="6" t="str">
        <f t="shared" si="15"/>
        <v/>
      </c>
    </row>
    <row r="563" spans="6:6" x14ac:dyDescent="0.3">
      <c r="F563" s="6" t="str">
        <f t="shared" si="15"/>
        <v/>
      </c>
    </row>
    <row r="564" spans="6:6" x14ac:dyDescent="0.3">
      <c r="F564" s="6" t="str">
        <f t="shared" si="15"/>
        <v/>
      </c>
    </row>
    <row r="565" spans="6:6" x14ac:dyDescent="0.3">
      <c r="F565" s="6" t="str">
        <f t="shared" si="15"/>
        <v/>
      </c>
    </row>
    <row r="566" spans="6:6" x14ac:dyDescent="0.3">
      <c r="F566" s="6" t="str">
        <f t="shared" si="15"/>
        <v/>
      </c>
    </row>
    <row r="567" spans="6:6" x14ac:dyDescent="0.3">
      <c r="F567" s="6" t="str">
        <f t="shared" si="15"/>
        <v/>
      </c>
    </row>
    <row r="568" spans="6:6" x14ac:dyDescent="0.3">
      <c r="F568" s="6" t="str">
        <f t="shared" si="15"/>
        <v/>
      </c>
    </row>
    <row r="569" spans="6:6" x14ac:dyDescent="0.3">
      <c r="F569" s="6" t="str">
        <f t="shared" si="15"/>
        <v/>
      </c>
    </row>
    <row r="570" spans="6:6" x14ac:dyDescent="0.3">
      <c r="F570" s="6" t="str">
        <f t="shared" si="15"/>
        <v/>
      </c>
    </row>
    <row r="571" spans="6:6" x14ac:dyDescent="0.3">
      <c r="F571" s="6" t="str">
        <f t="shared" si="15"/>
        <v/>
      </c>
    </row>
    <row r="572" spans="6:6" x14ac:dyDescent="0.3">
      <c r="F572" s="6" t="str">
        <f t="shared" si="15"/>
        <v/>
      </c>
    </row>
    <row r="573" spans="6:6" x14ac:dyDescent="0.3">
      <c r="F573" s="6" t="str">
        <f t="shared" si="15"/>
        <v/>
      </c>
    </row>
    <row r="574" spans="6:6" x14ac:dyDescent="0.3">
      <c r="F574" s="6" t="str">
        <f t="shared" si="15"/>
        <v/>
      </c>
    </row>
    <row r="575" spans="6:6" x14ac:dyDescent="0.3">
      <c r="F575" s="6" t="str">
        <f t="shared" si="15"/>
        <v/>
      </c>
    </row>
    <row r="576" spans="6:6" x14ac:dyDescent="0.3">
      <c r="F576" s="6" t="str">
        <f t="shared" si="15"/>
        <v/>
      </c>
    </row>
    <row r="577" spans="6:6" x14ac:dyDescent="0.3">
      <c r="F577" s="6" t="str">
        <f t="shared" si="15"/>
        <v/>
      </c>
    </row>
    <row r="578" spans="6:6" x14ac:dyDescent="0.3">
      <c r="F578" s="6" t="str">
        <f t="shared" si="15"/>
        <v/>
      </c>
    </row>
    <row r="579" spans="6:6" x14ac:dyDescent="0.3">
      <c r="F579" s="6" t="str">
        <f t="shared" ref="F579:F642" si="16">IF(AND(ISNUMBER(G579),ISNUMBER(H579),ISNUMBER(I579)),DATE(G579,H579,I579),"")</f>
        <v/>
      </c>
    </row>
    <row r="580" spans="6:6" x14ac:dyDescent="0.3">
      <c r="F580" s="6" t="str">
        <f t="shared" si="16"/>
        <v/>
      </c>
    </row>
    <row r="581" spans="6:6" x14ac:dyDescent="0.3">
      <c r="F581" s="6" t="str">
        <f t="shared" si="16"/>
        <v/>
      </c>
    </row>
    <row r="582" spans="6:6" x14ac:dyDescent="0.3">
      <c r="F582" s="6" t="str">
        <f t="shared" si="16"/>
        <v/>
      </c>
    </row>
    <row r="583" spans="6:6" x14ac:dyDescent="0.3">
      <c r="F583" s="6" t="str">
        <f t="shared" si="16"/>
        <v/>
      </c>
    </row>
    <row r="584" spans="6:6" x14ac:dyDescent="0.3">
      <c r="F584" s="6" t="str">
        <f t="shared" si="16"/>
        <v/>
      </c>
    </row>
    <row r="585" spans="6:6" x14ac:dyDescent="0.3">
      <c r="F585" s="6" t="str">
        <f t="shared" si="16"/>
        <v/>
      </c>
    </row>
    <row r="586" spans="6:6" x14ac:dyDescent="0.3">
      <c r="F586" s="6" t="str">
        <f t="shared" si="16"/>
        <v/>
      </c>
    </row>
    <row r="587" spans="6:6" x14ac:dyDescent="0.3">
      <c r="F587" s="6" t="str">
        <f t="shared" si="16"/>
        <v/>
      </c>
    </row>
    <row r="588" spans="6:6" x14ac:dyDescent="0.3">
      <c r="F588" s="6" t="str">
        <f t="shared" si="16"/>
        <v/>
      </c>
    </row>
    <row r="589" spans="6:6" x14ac:dyDescent="0.3">
      <c r="F589" s="6" t="str">
        <f t="shared" si="16"/>
        <v/>
      </c>
    </row>
    <row r="590" spans="6:6" x14ac:dyDescent="0.3">
      <c r="F590" s="6" t="str">
        <f t="shared" si="16"/>
        <v/>
      </c>
    </row>
    <row r="591" spans="6:6" x14ac:dyDescent="0.3">
      <c r="F591" s="6" t="str">
        <f t="shared" si="16"/>
        <v/>
      </c>
    </row>
    <row r="592" spans="6:6" x14ac:dyDescent="0.3">
      <c r="F592" s="6" t="str">
        <f t="shared" si="16"/>
        <v/>
      </c>
    </row>
    <row r="593" spans="6:6" x14ac:dyDescent="0.3">
      <c r="F593" s="6" t="str">
        <f t="shared" si="16"/>
        <v/>
      </c>
    </row>
    <row r="594" spans="6:6" x14ac:dyDescent="0.3">
      <c r="F594" s="6" t="str">
        <f t="shared" si="16"/>
        <v/>
      </c>
    </row>
    <row r="595" spans="6:6" x14ac:dyDescent="0.3">
      <c r="F595" s="6" t="str">
        <f t="shared" si="16"/>
        <v/>
      </c>
    </row>
    <row r="596" spans="6:6" x14ac:dyDescent="0.3">
      <c r="F596" s="6" t="str">
        <f t="shared" si="16"/>
        <v/>
      </c>
    </row>
    <row r="597" spans="6:6" x14ac:dyDescent="0.3">
      <c r="F597" s="6" t="str">
        <f t="shared" si="16"/>
        <v/>
      </c>
    </row>
    <row r="598" spans="6:6" x14ac:dyDescent="0.3">
      <c r="F598" s="6" t="str">
        <f t="shared" si="16"/>
        <v/>
      </c>
    </row>
    <row r="599" spans="6:6" x14ac:dyDescent="0.3">
      <c r="F599" s="6" t="str">
        <f t="shared" si="16"/>
        <v/>
      </c>
    </row>
    <row r="600" spans="6:6" x14ac:dyDescent="0.3">
      <c r="F600" s="6" t="str">
        <f t="shared" si="16"/>
        <v/>
      </c>
    </row>
    <row r="601" spans="6:6" x14ac:dyDescent="0.3">
      <c r="F601" s="6" t="str">
        <f t="shared" si="16"/>
        <v/>
      </c>
    </row>
    <row r="602" spans="6:6" x14ac:dyDescent="0.3">
      <c r="F602" s="6" t="str">
        <f t="shared" si="16"/>
        <v/>
      </c>
    </row>
    <row r="603" spans="6:6" x14ac:dyDescent="0.3">
      <c r="F603" s="6" t="str">
        <f t="shared" si="16"/>
        <v/>
      </c>
    </row>
    <row r="604" spans="6:6" x14ac:dyDescent="0.3">
      <c r="F604" s="6" t="str">
        <f t="shared" si="16"/>
        <v/>
      </c>
    </row>
    <row r="605" spans="6:6" x14ac:dyDescent="0.3">
      <c r="F605" s="6" t="str">
        <f t="shared" si="16"/>
        <v/>
      </c>
    </row>
    <row r="606" spans="6:6" x14ac:dyDescent="0.3">
      <c r="F606" s="6" t="str">
        <f t="shared" si="16"/>
        <v/>
      </c>
    </row>
    <row r="607" spans="6:6" x14ac:dyDescent="0.3">
      <c r="F607" s="6" t="str">
        <f t="shared" si="16"/>
        <v/>
      </c>
    </row>
    <row r="608" spans="6:6" x14ac:dyDescent="0.3">
      <c r="F608" s="6" t="str">
        <f t="shared" si="16"/>
        <v/>
      </c>
    </row>
    <row r="609" spans="6:6" x14ac:dyDescent="0.3">
      <c r="F609" s="6" t="str">
        <f t="shared" si="16"/>
        <v/>
      </c>
    </row>
    <row r="610" spans="6:6" x14ac:dyDescent="0.3">
      <c r="F610" s="6" t="str">
        <f t="shared" si="16"/>
        <v/>
      </c>
    </row>
    <row r="611" spans="6:6" x14ac:dyDescent="0.3">
      <c r="F611" s="6" t="str">
        <f t="shared" si="16"/>
        <v/>
      </c>
    </row>
    <row r="612" spans="6:6" x14ac:dyDescent="0.3">
      <c r="F612" s="6" t="str">
        <f t="shared" si="16"/>
        <v/>
      </c>
    </row>
    <row r="613" spans="6:6" x14ac:dyDescent="0.3">
      <c r="F613" s="6" t="str">
        <f t="shared" si="16"/>
        <v/>
      </c>
    </row>
    <row r="614" spans="6:6" x14ac:dyDescent="0.3">
      <c r="F614" s="6" t="str">
        <f t="shared" si="16"/>
        <v/>
      </c>
    </row>
    <row r="615" spans="6:6" x14ac:dyDescent="0.3">
      <c r="F615" s="6" t="str">
        <f t="shared" si="16"/>
        <v/>
      </c>
    </row>
    <row r="616" spans="6:6" x14ac:dyDescent="0.3">
      <c r="F616" s="6" t="str">
        <f t="shared" si="16"/>
        <v/>
      </c>
    </row>
    <row r="617" spans="6:6" x14ac:dyDescent="0.3">
      <c r="F617" s="6" t="str">
        <f t="shared" si="16"/>
        <v/>
      </c>
    </row>
    <row r="618" spans="6:6" x14ac:dyDescent="0.3">
      <c r="F618" s="6" t="str">
        <f t="shared" si="16"/>
        <v/>
      </c>
    </row>
    <row r="619" spans="6:6" x14ac:dyDescent="0.3">
      <c r="F619" s="6" t="str">
        <f t="shared" si="16"/>
        <v/>
      </c>
    </row>
    <row r="620" spans="6:6" x14ac:dyDescent="0.3">
      <c r="F620" s="6" t="str">
        <f t="shared" si="16"/>
        <v/>
      </c>
    </row>
    <row r="621" spans="6:6" x14ac:dyDescent="0.3">
      <c r="F621" s="6" t="str">
        <f t="shared" si="16"/>
        <v/>
      </c>
    </row>
    <row r="622" spans="6:6" x14ac:dyDescent="0.3">
      <c r="F622" s="6" t="str">
        <f t="shared" si="16"/>
        <v/>
      </c>
    </row>
    <row r="623" spans="6:6" x14ac:dyDescent="0.3">
      <c r="F623" s="6" t="str">
        <f t="shared" si="16"/>
        <v/>
      </c>
    </row>
    <row r="624" spans="6:6" x14ac:dyDescent="0.3">
      <c r="F624" s="6" t="str">
        <f t="shared" si="16"/>
        <v/>
      </c>
    </row>
    <row r="625" spans="6:6" x14ac:dyDescent="0.3">
      <c r="F625" s="6" t="str">
        <f t="shared" si="16"/>
        <v/>
      </c>
    </row>
    <row r="626" spans="6:6" x14ac:dyDescent="0.3">
      <c r="F626" s="6" t="str">
        <f t="shared" si="16"/>
        <v/>
      </c>
    </row>
    <row r="627" spans="6:6" x14ac:dyDescent="0.3">
      <c r="F627" s="6" t="str">
        <f t="shared" si="16"/>
        <v/>
      </c>
    </row>
    <row r="628" spans="6:6" x14ac:dyDescent="0.3">
      <c r="F628" s="6" t="str">
        <f t="shared" si="16"/>
        <v/>
      </c>
    </row>
    <row r="629" spans="6:6" x14ac:dyDescent="0.3">
      <c r="F629" s="6" t="str">
        <f t="shared" si="16"/>
        <v/>
      </c>
    </row>
    <row r="630" spans="6:6" x14ac:dyDescent="0.3">
      <c r="F630" s="6" t="str">
        <f t="shared" si="16"/>
        <v/>
      </c>
    </row>
    <row r="631" spans="6:6" x14ac:dyDescent="0.3">
      <c r="F631" s="6" t="str">
        <f t="shared" si="16"/>
        <v/>
      </c>
    </row>
    <row r="632" spans="6:6" x14ac:dyDescent="0.3">
      <c r="F632" s="6" t="str">
        <f t="shared" si="16"/>
        <v/>
      </c>
    </row>
    <row r="633" spans="6:6" x14ac:dyDescent="0.3">
      <c r="F633" s="6" t="str">
        <f t="shared" si="16"/>
        <v/>
      </c>
    </row>
    <row r="634" spans="6:6" x14ac:dyDescent="0.3">
      <c r="F634" s="6" t="str">
        <f t="shared" si="16"/>
        <v/>
      </c>
    </row>
    <row r="635" spans="6:6" x14ac:dyDescent="0.3">
      <c r="F635" s="6" t="str">
        <f t="shared" si="16"/>
        <v/>
      </c>
    </row>
    <row r="636" spans="6:6" x14ac:dyDescent="0.3">
      <c r="F636" s="6" t="str">
        <f t="shared" si="16"/>
        <v/>
      </c>
    </row>
    <row r="637" spans="6:6" x14ac:dyDescent="0.3">
      <c r="F637" s="6" t="str">
        <f t="shared" si="16"/>
        <v/>
      </c>
    </row>
    <row r="638" spans="6:6" x14ac:dyDescent="0.3">
      <c r="F638" s="6" t="str">
        <f t="shared" si="16"/>
        <v/>
      </c>
    </row>
    <row r="639" spans="6:6" x14ac:dyDescent="0.3">
      <c r="F639" s="6" t="str">
        <f t="shared" si="16"/>
        <v/>
      </c>
    </row>
    <row r="640" spans="6:6" x14ac:dyDescent="0.3">
      <c r="F640" s="6" t="str">
        <f t="shared" si="16"/>
        <v/>
      </c>
    </row>
    <row r="641" spans="6:6" x14ac:dyDescent="0.3">
      <c r="F641" s="6" t="str">
        <f t="shared" si="16"/>
        <v/>
      </c>
    </row>
    <row r="642" spans="6:6" x14ac:dyDescent="0.3">
      <c r="F642" s="6" t="str">
        <f t="shared" si="16"/>
        <v/>
      </c>
    </row>
    <row r="643" spans="6:6" x14ac:dyDescent="0.3">
      <c r="F643" s="6" t="str">
        <f t="shared" ref="F643:F706" si="17">IF(AND(ISNUMBER(G643),ISNUMBER(H643),ISNUMBER(I643)),DATE(G643,H643,I643),"")</f>
        <v/>
      </c>
    </row>
    <row r="644" spans="6:6" x14ac:dyDescent="0.3">
      <c r="F644" s="6" t="str">
        <f t="shared" si="17"/>
        <v/>
      </c>
    </row>
    <row r="645" spans="6:6" x14ac:dyDescent="0.3">
      <c r="F645" s="6" t="str">
        <f t="shared" si="17"/>
        <v/>
      </c>
    </row>
    <row r="646" spans="6:6" x14ac:dyDescent="0.3">
      <c r="F646" s="6" t="str">
        <f t="shared" si="17"/>
        <v/>
      </c>
    </row>
    <row r="647" spans="6:6" x14ac:dyDescent="0.3">
      <c r="F647" s="6" t="str">
        <f t="shared" si="17"/>
        <v/>
      </c>
    </row>
    <row r="648" spans="6:6" x14ac:dyDescent="0.3">
      <c r="F648" s="6" t="str">
        <f t="shared" si="17"/>
        <v/>
      </c>
    </row>
    <row r="649" spans="6:6" x14ac:dyDescent="0.3">
      <c r="F649" s="6" t="str">
        <f t="shared" si="17"/>
        <v/>
      </c>
    </row>
    <row r="650" spans="6:6" x14ac:dyDescent="0.3">
      <c r="F650" s="6" t="str">
        <f t="shared" si="17"/>
        <v/>
      </c>
    </row>
    <row r="651" spans="6:6" x14ac:dyDescent="0.3">
      <c r="F651" s="6" t="str">
        <f t="shared" si="17"/>
        <v/>
      </c>
    </row>
    <row r="652" spans="6:6" x14ac:dyDescent="0.3">
      <c r="F652" s="6" t="str">
        <f t="shared" si="17"/>
        <v/>
      </c>
    </row>
    <row r="653" spans="6:6" x14ac:dyDescent="0.3">
      <c r="F653" s="6" t="str">
        <f t="shared" si="17"/>
        <v/>
      </c>
    </row>
    <row r="654" spans="6:6" x14ac:dyDescent="0.3">
      <c r="F654" s="6" t="str">
        <f t="shared" si="17"/>
        <v/>
      </c>
    </row>
    <row r="655" spans="6:6" x14ac:dyDescent="0.3">
      <c r="F655" s="6" t="str">
        <f t="shared" si="17"/>
        <v/>
      </c>
    </row>
    <row r="656" spans="6:6" x14ac:dyDescent="0.3">
      <c r="F656" s="6" t="str">
        <f t="shared" si="17"/>
        <v/>
      </c>
    </row>
    <row r="657" spans="6:6" x14ac:dyDescent="0.3">
      <c r="F657" s="6" t="str">
        <f t="shared" si="17"/>
        <v/>
      </c>
    </row>
    <row r="658" spans="6:6" x14ac:dyDescent="0.3">
      <c r="F658" s="6" t="str">
        <f t="shared" si="17"/>
        <v/>
      </c>
    </row>
    <row r="659" spans="6:6" x14ac:dyDescent="0.3">
      <c r="F659" s="6" t="str">
        <f t="shared" si="17"/>
        <v/>
      </c>
    </row>
    <row r="660" spans="6:6" x14ac:dyDescent="0.3">
      <c r="F660" s="6" t="str">
        <f t="shared" si="17"/>
        <v/>
      </c>
    </row>
    <row r="661" spans="6:6" x14ac:dyDescent="0.3">
      <c r="F661" s="6" t="str">
        <f t="shared" si="17"/>
        <v/>
      </c>
    </row>
    <row r="662" spans="6:6" x14ac:dyDescent="0.3">
      <c r="F662" s="6" t="str">
        <f t="shared" si="17"/>
        <v/>
      </c>
    </row>
    <row r="663" spans="6:6" x14ac:dyDescent="0.3">
      <c r="F663" s="6" t="str">
        <f t="shared" si="17"/>
        <v/>
      </c>
    </row>
    <row r="664" spans="6:6" x14ac:dyDescent="0.3">
      <c r="F664" s="6" t="str">
        <f t="shared" si="17"/>
        <v/>
      </c>
    </row>
    <row r="665" spans="6:6" x14ac:dyDescent="0.3">
      <c r="F665" s="6" t="str">
        <f t="shared" si="17"/>
        <v/>
      </c>
    </row>
    <row r="666" spans="6:6" x14ac:dyDescent="0.3">
      <c r="F666" s="6" t="str">
        <f t="shared" si="17"/>
        <v/>
      </c>
    </row>
    <row r="667" spans="6:6" x14ac:dyDescent="0.3">
      <c r="F667" s="6" t="str">
        <f t="shared" si="17"/>
        <v/>
      </c>
    </row>
    <row r="668" spans="6:6" x14ac:dyDescent="0.3">
      <c r="F668" s="6" t="str">
        <f t="shared" si="17"/>
        <v/>
      </c>
    </row>
    <row r="669" spans="6:6" x14ac:dyDescent="0.3">
      <c r="F669" s="6" t="str">
        <f t="shared" si="17"/>
        <v/>
      </c>
    </row>
    <row r="670" spans="6:6" x14ac:dyDescent="0.3">
      <c r="F670" s="6" t="str">
        <f t="shared" si="17"/>
        <v/>
      </c>
    </row>
    <row r="671" spans="6:6" x14ac:dyDescent="0.3">
      <c r="F671" s="6" t="str">
        <f t="shared" si="17"/>
        <v/>
      </c>
    </row>
    <row r="672" spans="6:6" x14ac:dyDescent="0.3">
      <c r="F672" s="6" t="str">
        <f t="shared" si="17"/>
        <v/>
      </c>
    </row>
    <row r="673" spans="6:6" x14ac:dyDescent="0.3">
      <c r="F673" s="6" t="str">
        <f t="shared" si="17"/>
        <v/>
      </c>
    </row>
    <row r="674" spans="6:6" x14ac:dyDescent="0.3">
      <c r="F674" s="6" t="str">
        <f t="shared" si="17"/>
        <v/>
      </c>
    </row>
    <row r="675" spans="6:6" x14ac:dyDescent="0.3">
      <c r="F675" s="6" t="str">
        <f t="shared" si="17"/>
        <v/>
      </c>
    </row>
    <row r="676" spans="6:6" x14ac:dyDescent="0.3">
      <c r="F676" s="6" t="str">
        <f t="shared" si="17"/>
        <v/>
      </c>
    </row>
    <row r="677" spans="6:6" x14ac:dyDescent="0.3">
      <c r="F677" s="6" t="str">
        <f t="shared" si="17"/>
        <v/>
      </c>
    </row>
    <row r="678" spans="6:6" x14ac:dyDescent="0.3">
      <c r="F678" s="6" t="str">
        <f t="shared" si="17"/>
        <v/>
      </c>
    </row>
    <row r="679" spans="6:6" x14ac:dyDescent="0.3">
      <c r="F679" s="6" t="str">
        <f t="shared" si="17"/>
        <v/>
      </c>
    </row>
    <row r="680" spans="6:6" x14ac:dyDescent="0.3">
      <c r="F680" s="6" t="str">
        <f t="shared" si="17"/>
        <v/>
      </c>
    </row>
    <row r="681" spans="6:6" x14ac:dyDescent="0.3">
      <c r="F681" s="6" t="str">
        <f t="shared" si="17"/>
        <v/>
      </c>
    </row>
    <row r="682" spans="6:6" x14ac:dyDescent="0.3">
      <c r="F682" s="6" t="str">
        <f t="shared" si="17"/>
        <v/>
      </c>
    </row>
    <row r="683" spans="6:6" x14ac:dyDescent="0.3">
      <c r="F683" s="6" t="str">
        <f t="shared" si="17"/>
        <v/>
      </c>
    </row>
    <row r="684" spans="6:6" x14ac:dyDescent="0.3">
      <c r="F684" s="6" t="str">
        <f t="shared" si="17"/>
        <v/>
      </c>
    </row>
    <row r="685" spans="6:6" x14ac:dyDescent="0.3">
      <c r="F685" s="6" t="str">
        <f t="shared" si="17"/>
        <v/>
      </c>
    </row>
    <row r="686" spans="6:6" x14ac:dyDescent="0.3">
      <c r="F686" s="6" t="str">
        <f t="shared" si="17"/>
        <v/>
      </c>
    </row>
    <row r="687" spans="6:6" x14ac:dyDescent="0.3">
      <c r="F687" s="6" t="str">
        <f t="shared" si="17"/>
        <v/>
      </c>
    </row>
    <row r="688" spans="6:6" x14ac:dyDescent="0.3">
      <c r="F688" s="6" t="str">
        <f t="shared" si="17"/>
        <v/>
      </c>
    </row>
    <row r="689" spans="6:6" x14ac:dyDescent="0.3">
      <c r="F689" s="6" t="str">
        <f t="shared" si="17"/>
        <v/>
      </c>
    </row>
    <row r="690" spans="6:6" x14ac:dyDescent="0.3">
      <c r="F690" s="6" t="str">
        <f t="shared" si="17"/>
        <v/>
      </c>
    </row>
    <row r="691" spans="6:6" x14ac:dyDescent="0.3">
      <c r="F691" s="6" t="str">
        <f t="shared" si="17"/>
        <v/>
      </c>
    </row>
    <row r="692" spans="6:6" x14ac:dyDescent="0.3">
      <c r="F692" s="6" t="str">
        <f t="shared" si="17"/>
        <v/>
      </c>
    </row>
    <row r="693" spans="6:6" x14ac:dyDescent="0.3">
      <c r="F693" s="6" t="str">
        <f t="shared" si="17"/>
        <v/>
      </c>
    </row>
    <row r="694" spans="6:6" x14ac:dyDescent="0.3">
      <c r="F694" s="6" t="str">
        <f t="shared" si="17"/>
        <v/>
      </c>
    </row>
    <row r="695" spans="6:6" x14ac:dyDescent="0.3">
      <c r="F695" s="6" t="str">
        <f t="shared" si="17"/>
        <v/>
      </c>
    </row>
    <row r="696" spans="6:6" x14ac:dyDescent="0.3">
      <c r="F696" s="6" t="str">
        <f t="shared" si="17"/>
        <v/>
      </c>
    </row>
    <row r="697" spans="6:6" x14ac:dyDescent="0.3">
      <c r="F697" s="6" t="str">
        <f t="shared" si="17"/>
        <v/>
      </c>
    </row>
    <row r="698" spans="6:6" x14ac:dyDescent="0.3">
      <c r="F698" s="6" t="str">
        <f t="shared" si="17"/>
        <v/>
      </c>
    </row>
    <row r="699" spans="6:6" x14ac:dyDescent="0.3">
      <c r="F699" s="6" t="str">
        <f t="shared" si="17"/>
        <v/>
      </c>
    </row>
    <row r="700" spans="6:6" x14ac:dyDescent="0.3">
      <c r="F700" s="6" t="str">
        <f t="shared" si="17"/>
        <v/>
      </c>
    </row>
    <row r="701" spans="6:6" x14ac:dyDescent="0.3">
      <c r="F701" s="6" t="str">
        <f t="shared" si="17"/>
        <v/>
      </c>
    </row>
    <row r="702" spans="6:6" x14ac:dyDescent="0.3">
      <c r="F702" s="6" t="str">
        <f t="shared" si="17"/>
        <v/>
      </c>
    </row>
    <row r="703" spans="6:6" x14ac:dyDescent="0.3">
      <c r="F703" s="6" t="str">
        <f t="shared" si="17"/>
        <v/>
      </c>
    </row>
    <row r="704" spans="6:6" x14ac:dyDescent="0.3">
      <c r="F704" s="6" t="str">
        <f t="shared" si="17"/>
        <v/>
      </c>
    </row>
    <row r="705" spans="6:6" x14ac:dyDescent="0.3">
      <c r="F705" s="6" t="str">
        <f t="shared" si="17"/>
        <v/>
      </c>
    </row>
    <row r="706" spans="6:6" x14ac:dyDescent="0.3">
      <c r="F706" s="6" t="str">
        <f t="shared" si="17"/>
        <v/>
      </c>
    </row>
    <row r="707" spans="6:6" x14ac:dyDescent="0.3">
      <c r="F707" s="6" t="str">
        <f t="shared" ref="F707:F770" si="18">IF(AND(ISNUMBER(G707),ISNUMBER(H707),ISNUMBER(I707)),DATE(G707,H707,I707),"")</f>
        <v/>
      </c>
    </row>
    <row r="708" spans="6:6" x14ac:dyDescent="0.3">
      <c r="F708" s="6" t="str">
        <f t="shared" si="18"/>
        <v/>
      </c>
    </row>
    <row r="709" spans="6:6" x14ac:dyDescent="0.3">
      <c r="F709" s="6" t="str">
        <f t="shared" si="18"/>
        <v/>
      </c>
    </row>
    <row r="710" spans="6:6" x14ac:dyDescent="0.3">
      <c r="F710" s="6" t="str">
        <f t="shared" si="18"/>
        <v/>
      </c>
    </row>
    <row r="711" spans="6:6" x14ac:dyDescent="0.3">
      <c r="F711" s="6" t="str">
        <f t="shared" si="18"/>
        <v/>
      </c>
    </row>
    <row r="712" spans="6:6" x14ac:dyDescent="0.3">
      <c r="F712" s="6" t="str">
        <f t="shared" si="18"/>
        <v/>
      </c>
    </row>
    <row r="713" spans="6:6" x14ac:dyDescent="0.3">
      <c r="F713" s="6" t="str">
        <f t="shared" si="18"/>
        <v/>
      </c>
    </row>
    <row r="714" spans="6:6" x14ac:dyDescent="0.3">
      <c r="F714" s="6" t="str">
        <f t="shared" si="18"/>
        <v/>
      </c>
    </row>
    <row r="715" spans="6:6" x14ac:dyDescent="0.3">
      <c r="F715" s="6" t="str">
        <f t="shared" si="18"/>
        <v/>
      </c>
    </row>
    <row r="716" spans="6:6" x14ac:dyDescent="0.3">
      <c r="F716" s="6" t="str">
        <f t="shared" si="18"/>
        <v/>
      </c>
    </row>
    <row r="717" spans="6:6" x14ac:dyDescent="0.3">
      <c r="F717" s="6" t="str">
        <f t="shared" si="18"/>
        <v/>
      </c>
    </row>
    <row r="718" spans="6:6" x14ac:dyDescent="0.3">
      <c r="F718" s="6" t="str">
        <f t="shared" si="18"/>
        <v/>
      </c>
    </row>
    <row r="719" spans="6:6" x14ac:dyDescent="0.3">
      <c r="F719" s="6" t="str">
        <f t="shared" si="18"/>
        <v/>
      </c>
    </row>
    <row r="720" spans="6:6" x14ac:dyDescent="0.3">
      <c r="F720" s="6" t="str">
        <f t="shared" si="18"/>
        <v/>
      </c>
    </row>
    <row r="721" spans="6:6" x14ac:dyDescent="0.3">
      <c r="F721" s="6" t="str">
        <f t="shared" si="18"/>
        <v/>
      </c>
    </row>
    <row r="722" spans="6:6" x14ac:dyDescent="0.3">
      <c r="F722" s="6" t="str">
        <f t="shared" si="18"/>
        <v/>
      </c>
    </row>
    <row r="723" spans="6:6" x14ac:dyDescent="0.3">
      <c r="F723" s="6" t="str">
        <f t="shared" si="18"/>
        <v/>
      </c>
    </row>
    <row r="724" spans="6:6" x14ac:dyDescent="0.3">
      <c r="F724" s="6" t="str">
        <f t="shared" si="18"/>
        <v/>
      </c>
    </row>
    <row r="725" spans="6:6" x14ac:dyDescent="0.3">
      <c r="F725" s="6" t="str">
        <f t="shared" si="18"/>
        <v/>
      </c>
    </row>
    <row r="726" spans="6:6" x14ac:dyDescent="0.3">
      <c r="F726" s="6" t="str">
        <f t="shared" si="18"/>
        <v/>
      </c>
    </row>
    <row r="727" spans="6:6" x14ac:dyDescent="0.3">
      <c r="F727" s="6" t="str">
        <f t="shared" si="18"/>
        <v/>
      </c>
    </row>
    <row r="728" spans="6:6" x14ac:dyDescent="0.3">
      <c r="F728" s="6" t="str">
        <f t="shared" si="18"/>
        <v/>
      </c>
    </row>
    <row r="729" spans="6:6" x14ac:dyDescent="0.3">
      <c r="F729" s="6" t="str">
        <f t="shared" si="18"/>
        <v/>
      </c>
    </row>
    <row r="730" spans="6:6" x14ac:dyDescent="0.3">
      <c r="F730" s="6" t="str">
        <f t="shared" si="18"/>
        <v/>
      </c>
    </row>
    <row r="731" spans="6:6" x14ac:dyDescent="0.3">
      <c r="F731" s="6" t="str">
        <f t="shared" si="18"/>
        <v/>
      </c>
    </row>
    <row r="732" spans="6:6" x14ac:dyDescent="0.3">
      <c r="F732" s="6" t="str">
        <f t="shared" si="18"/>
        <v/>
      </c>
    </row>
    <row r="733" spans="6:6" x14ac:dyDescent="0.3">
      <c r="F733" s="6" t="str">
        <f t="shared" si="18"/>
        <v/>
      </c>
    </row>
    <row r="734" spans="6:6" x14ac:dyDescent="0.3">
      <c r="F734" s="6" t="str">
        <f t="shared" si="18"/>
        <v/>
      </c>
    </row>
    <row r="735" spans="6:6" x14ac:dyDescent="0.3">
      <c r="F735" s="6" t="str">
        <f t="shared" si="18"/>
        <v/>
      </c>
    </row>
    <row r="736" spans="6:6" x14ac:dyDescent="0.3">
      <c r="F736" s="6" t="str">
        <f t="shared" si="18"/>
        <v/>
      </c>
    </row>
    <row r="737" spans="6:6" x14ac:dyDescent="0.3">
      <c r="F737" s="6" t="str">
        <f t="shared" si="18"/>
        <v/>
      </c>
    </row>
    <row r="738" spans="6:6" x14ac:dyDescent="0.3">
      <c r="F738" s="6" t="str">
        <f t="shared" si="18"/>
        <v/>
      </c>
    </row>
    <row r="739" spans="6:6" x14ac:dyDescent="0.3">
      <c r="F739" s="6" t="str">
        <f t="shared" si="18"/>
        <v/>
      </c>
    </row>
    <row r="740" spans="6:6" x14ac:dyDescent="0.3">
      <c r="F740" s="6" t="str">
        <f t="shared" si="18"/>
        <v/>
      </c>
    </row>
    <row r="741" spans="6:6" x14ac:dyDescent="0.3">
      <c r="F741" s="6" t="str">
        <f t="shared" si="18"/>
        <v/>
      </c>
    </row>
    <row r="742" spans="6:6" x14ac:dyDescent="0.3">
      <c r="F742" s="6" t="str">
        <f t="shared" si="18"/>
        <v/>
      </c>
    </row>
    <row r="743" spans="6:6" x14ac:dyDescent="0.3">
      <c r="F743" s="6" t="str">
        <f t="shared" si="18"/>
        <v/>
      </c>
    </row>
    <row r="744" spans="6:6" x14ac:dyDescent="0.3">
      <c r="F744" s="6" t="str">
        <f t="shared" si="18"/>
        <v/>
      </c>
    </row>
    <row r="745" spans="6:6" x14ac:dyDescent="0.3">
      <c r="F745" s="6" t="str">
        <f t="shared" si="18"/>
        <v/>
      </c>
    </row>
    <row r="746" spans="6:6" x14ac:dyDescent="0.3">
      <c r="F746" s="6" t="str">
        <f t="shared" si="18"/>
        <v/>
      </c>
    </row>
    <row r="747" spans="6:6" x14ac:dyDescent="0.3">
      <c r="F747" s="6" t="str">
        <f t="shared" si="18"/>
        <v/>
      </c>
    </row>
    <row r="748" spans="6:6" x14ac:dyDescent="0.3">
      <c r="F748" s="6" t="str">
        <f t="shared" si="18"/>
        <v/>
      </c>
    </row>
    <row r="749" spans="6:6" x14ac:dyDescent="0.3">
      <c r="F749" s="6" t="str">
        <f t="shared" si="18"/>
        <v/>
      </c>
    </row>
    <row r="750" spans="6:6" x14ac:dyDescent="0.3">
      <c r="F750" s="6" t="str">
        <f t="shared" si="18"/>
        <v/>
      </c>
    </row>
    <row r="751" spans="6:6" x14ac:dyDescent="0.3">
      <c r="F751" s="6" t="str">
        <f t="shared" si="18"/>
        <v/>
      </c>
    </row>
    <row r="752" spans="6:6" x14ac:dyDescent="0.3">
      <c r="F752" s="6" t="str">
        <f t="shared" si="18"/>
        <v/>
      </c>
    </row>
    <row r="753" spans="6:6" x14ac:dyDescent="0.3">
      <c r="F753" s="6" t="str">
        <f t="shared" si="18"/>
        <v/>
      </c>
    </row>
    <row r="754" spans="6:6" x14ac:dyDescent="0.3">
      <c r="F754" s="6" t="str">
        <f t="shared" si="18"/>
        <v/>
      </c>
    </row>
    <row r="755" spans="6:6" x14ac:dyDescent="0.3">
      <c r="F755" s="6" t="str">
        <f t="shared" si="18"/>
        <v/>
      </c>
    </row>
    <row r="756" spans="6:6" x14ac:dyDescent="0.3">
      <c r="F756" s="6" t="str">
        <f t="shared" si="18"/>
        <v/>
      </c>
    </row>
    <row r="757" spans="6:6" x14ac:dyDescent="0.3">
      <c r="F757" s="6" t="str">
        <f t="shared" si="18"/>
        <v/>
      </c>
    </row>
    <row r="758" spans="6:6" x14ac:dyDescent="0.3">
      <c r="F758" s="6" t="str">
        <f t="shared" si="18"/>
        <v/>
      </c>
    </row>
    <row r="759" spans="6:6" x14ac:dyDescent="0.3">
      <c r="F759" s="6" t="str">
        <f t="shared" si="18"/>
        <v/>
      </c>
    </row>
    <row r="760" spans="6:6" x14ac:dyDescent="0.3">
      <c r="F760" s="6" t="str">
        <f t="shared" si="18"/>
        <v/>
      </c>
    </row>
    <row r="761" spans="6:6" x14ac:dyDescent="0.3">
      <c r="F761" s="6" t="str">
        <f t="shared" si="18"/>
        <v/>
      </c>
    </row>
    <row r="762" spans="6:6" x14ac:dyDescent="0.3">
      <c r="F762" s="6" t="str">
        <f t="shared" si="18"/>
        <v/>
      </c>
    </row>
    <row r="763" spans="6:6" x14ac:dyDescent="0.3">
      <c r="F763" s="6" t="str">
        <f t="shared" si="18"/>
        <v/>
      </c>
    </row>
    <row r="764" spans="6:6" x14ac:dyDescent="0.3">
      <c r="F764" s="6" t="str">
        <f t="shared" si="18"/>
        <v/>
      </c>
    </row>
    <row r="765" spans="6:6" x14ac:dyDescent="0.3">
      <c r="F765" s="6" t="str">
        <f t="shared" si="18"/>
        <v/>
      </c>
    </row>
    <row r="766" spans="6:6" x14ac:dyDescent="0.3">
      <c r="F766" s="6" t="str">
        <f t="shared" si="18"/>
        <v/>
      </c>
    </row>
    <row r="767" spans="6:6" x14ac:dyDescent="0.3">
      <c r="F767" s="6" t="str">
        <f t="shared" si="18"/>
        <v/>
      </c>
    </row>
    <row r="768" spans="6:6" x14ac:dyDescent="0.3">
      <c r="F768" s="6" t="str">
        <f t="shared" si="18"/>
        <v/>
      </c>
    </row>
    <row r="769" spans="6:6" x14ac:dyDescent="0.3">
      <c r="F769" s="6" t="str">
        <f t="shared" si="18"/>
        <v/>
      </c>
    </row>
    <row r="770" spans="6:6" x14ac:dyDescent="0.3">
      <c r="F770" s="6" t="str">
        <f t="shared" si="18"/>
        <v/>
      </c>
    </row>
    <row r="771" spans="6:6" x14ac:dyDescent="0.3">
      <c r="F771" s="6" t="str">
        <f t="shared" ref="F771:F834" si="19">IF(AND(ISNUMBER(G771),ISNUMBER(H771),ISNUMBER(I771)),DATE(G771,H771,I771),"")</f>
        <v/>
      </c>
    </row>
    <row r="772" spans="6:6" x14ac:dyDescent="0.3">
      <c r="F772" s="6" t="str">
        <f t="shared" si="19"/>
        <v/>
      </c>
    </row>
    <row r="773" spans="6:6" x14ac:dyDescent="0.3">
      <c r="F773" s="6" t="str">
        <f t="shared" si="19"/>
        <v/>
      </c>
    </row>
    <row r="774" spans="6:6" x14ac:dyDescent="0.3">
      <c r="F774" s="6" t="str">
        <f t="shared" si="19"/>
        <v/>
      </c>
    </row>
    <row r="775" spans="6:6" x14ac:dyDescent="0.3">
      <c r="F775" s="6" t="str">
        <f t="shared" si="19"/>
        <v/>
      </c>
    </row>
    <row r="776" spans="6:6" x14ac:dyDescent="0.3">
      <c r="F776" s="6" t="str">
        <f t="shared" si="19"/>
        <v/>
      </c>
    </row>
    <row r="777" spans="6:6" x14ac:dyDescent="0.3">
      <c r="F777" s="6" t="str">
        <f t="shared" si="19"/>
        <v/>
      </c>
    </row>
    <row r="778" spans="6:6" x14ac:dyDescent="0.3">
      <c r="F778" s="6" t="str">
        <f t="shared" si="19"/>
        <v/>
      </c>
    </row>
    <row r="779" spans="6:6" x14ac:dyDescent="0.3">
      <c r="F779" s="6" t="str">
        <f t="shared" si="19"/>
        <v/>
      </c>
    </row>
    <row r="780" spans="6:6" x14ac:dyDescent="0.3">
      <c r="F780" s="6" t="str">
        <f t="shared" si="19"/>
        <v/>
      </c>
    </row>
    <row r="781" spans="6:6" x14ac:dyDescent="0.3">
      <c r="F781" s="6" t="str">
        <f t="shared" si="19"/>
        <v/>
      </c>
    </row>
    <row r="782" spans="6:6" x14ac:dyDescent="0.3">
      <c r="F782" s="6" t="str">
        <f t="shared" si="19"/>
        <v/>
      </c>
    </row>
    <row r="783" spans="6:6" x14ac:dyDescent="0.3">
      <c r="F783" s="6" t="str">
        <f t="shared" si="19"/>
        <v/>
      </c>
    </row>
    <row r="784" spans="6:6" x14ac:dyDescent="0.3">
      <c r="F784" s="6" t="str">
        <f t="shared" si="19"/>
        <v/>
      </c>
    </row>
    <row r="785" spans="6:6" x14ac:dyDescent="0.3">
      <c r="F785" s="6" t="str">
        <f t="shared" si="19"/>
        <v/>
      </c>
    </row>
    <row r="786" spans="6:6" x14ac:dyDescent="0.3">
      <c r="F786" s="6" t="str">
        <f t="shared" si="19"/>
        <v/>
      </c>
    </row>
    <row r="787" spans="6:6" x14ac:dyDescent="0.3">
      <c r="F787" s="6" t="str">
        <f t="shared" si="19"/>
        <v/>
      </c>
    </row>
    <row r="788" spans="6:6" x14ac:dyDescent="0.3">
      <c r="F788" s="6" t="str">
        <f t="shared" si="19"/>
        <v/>
      </c>
    </row>
    <row r="789" spans="6:6" x14ac:dyDescent="0.3">
      <c r="F789" s="6" t="str">
        <f t="shared" si="19"/>
        <v/>
      </c>
    </row>
    <row r="790" spans="6:6" x14ac:dyDescent="0.3">
      <c r="F790" s="6" t="str">
        <f t="shared" si="19"/>
        <v/>
      </c>
    </row>
    <row r="791" spans="6:6" x14ac:dyDescent="0.3">
      <c r="F791" s="6" t="str">
        <f t="shared" si="19"/>
        <v/>
      </c>
    </row>
    <row r="792" spans="6:6" x14ac:dyDescent="0.3">
      <c r="F792" s="6" t="str">
        <f t="shared" si="19"/>
        <v/>
      </c>
    </row>
    <row r="793" spans="6:6" x14ac:dyDescent="0.3">
      <c r="F793" s="6" t="str">
        <f t="shared" si="19"/>
        <v/>
      </c>
    </row>
    <row r="794" spans="6:6" x14ac:dyDescent="0.3">
      <c r="F794" s="6" t="str">
        <f t="shared" si="19"/>
        <v/>
      </c>
    </row>
    <row r="795" spans="6:6" x14ac:dyDescent="0.3">
      <c r="F795" s="6" t="str">
        <f t="shared" si="19"/>
        <v/>
      </c>
    </row>
    <row r="796" spans="6:6" x14ac:dyDescent="0.3">
      <c r="F796" s="6" t="str">
        <f t="shared" si="19"/>
        <v/>
      </c>
    </row>
    <row r="797" spans="6:6" x14ac:dyDescent="0.3">
      <c r="F797" s="6" t="str">
        <f t="shared" si="19"/>
        <v/>
      </c>
    </row>
    <row r="798" spans="6:6" x14ac:dyDescent="0.3">
      <c r="F798" s="6" t="str">
        <f t="shared" si="19"/>
        <v/>
      </c>
    </row>
    <row r="799" spans="6:6" x14ac:dyDescent="0.3">
      <c r="F799" s="6" t="str">
        <f t="shared" si="19"/>
        <v/>
      </c>
    </row>
    <row r="800" spans="6:6" x14ac:dyDescent="0.3">
      <c r="F800" s="6" t="str">
        <f t="shared" si="19"/>
        <v/>
      </c>
    </row>
    <row r="801" spans="6:6" x14ac:dyDescent="0.3">
      <c r="F801" s="6" t="str">
        <f t="shared" si="19"/>
        <v/>
      </c>
    </row>
    <row r="802" spans="6:6" x14ac:dyDescent="0.3">
      <c r="F802" s="6" t="str">
        <f t="shared" si="19"/>
        <v/>
      </c>
    </row>
    <row r="803" spans="6:6" x14ac:dyDescent="0.3">
      <c r="F803" s="6" t="str">
        <f t="shared" si="19"/>
        <v/>
      </c>
    </row>
    <row r="804" spans="6:6" x14ac:dyDescent="0.3">
      <c r="F804" s="6" t="str">
        <f t="shared" si="19"/>
        <v/>
      </c>
    </row>
    <row r="805" spans="6:6" x14ac:dyDescent="0.3">
      <c r="F805" s="6" t="str">
        <f t="shared" si="19"/>
        <v/>
      </c>
    </row>
    <row r="806" spans="6:6" x14ac:dyDescent="0.3">
      <c r="F806" s="6" t="str">
        <f t="shared" si="19"/>
        <v/>
      </c>
    </row>
    <row r="807" spans="6:6" x14ac:dyDescent="0.3">
      <c r="F807" s="6" t="str">
        <f t="shared" si="19"/>
        <v/>
      </c>
    </row>
    <row r="808" spans="6:6" x14ac:dyDescent="0.3">
      <c r="F808" s="6" t="str">
        <f t="shared" si="19"/>
        <v/>
      </c>
    </row>
    <row r="809" spans="6:6" x14ac:dyDescent="0.3">
      <c r="F809" s="6" t="str">
        <f t="shared" si="19"/>
        <v/>
      </c>
    </row>
    <row r="810" spans="6:6" x14ac:dyDescent="0.3">
      <c r="F810" s="6" t="str">
        <f t="shared" si="19"/>
        <v/>
      </c>
    </row>
    <row r="811" spans="6:6" x14ac:dyDescent="0.3">
      <c r="F811" s="6" t="str">
        <f t="shared" si="19"/>
        <v/>
      </c>
    </row>
    <row r="812" spans="6:6" x14ac:dyDescent="0.3">
      <c r="F812" s="6" t="str">
        <f t="shared" si="19"/>
        <v/>
      </c>
    </row>
    <row r="813" spans="6:6" x14ac:dyDescent="0.3">
      <c r="F813" s="6" t="str">
        <f t="shared" si="19"/>
        <v/>
      </c>
    </row>
    <row r="814" spans="6:6" x14ac:dyDescent="0.3">
      <c r="F814" s="6" t="str">
        <f t="shared" si="19"/>
        <v/>
      </c>
    </row>
    <row r="815" spans="6:6" x14ac:dyDescent="0.3">
      <c r="F815" s="6" t="str">
        <f t="shared" si="19"/>
        <v/>
      </c>
    </row>
    <row r="816" spans="6:6" x14ac:dyDescent="0.3">
      <c r="F816" s="6" t="str">
        <f t="shared" si="19"/>
        <v/>
      </c>
    </row>
    <row r="817" spans="6:6" x14ac:dyDescent="0.3">
      <c r="F817" s="6" t="str">
        <f t="shared" si="19"/>
        <v/>
      </c>
    </row>
    <row r="818" spans="6:6" x14ac:dyDescent="0.3">
      <c r="F818" s="6" t="str">
        <f t="shared" si="19"/>
        <v/>
      </c>
    </row>
    <row r="819" spans="6:6" x14ac:dyDescent="0.3">
      <c r="F819" s="6" t="str">
        <f t="shared" si="19"/>
        <v/>
      </c>
    </row>
    <row r="820" spans="6:6" x14ac:dyDescent="0.3">
      <c r="F820" s="6" t="str">
        <f t="shared" si="19"/>
        <v/>
      </c>
    </row>
    <row r="821" spans="6:6" x14ac:dyDescent="0.3">
      <c r="F821" s="6" t="str">
        <f t="shared" si="19"/>
        <v/>
      </c>
    </row>
    <row r="822" spans="6:6" x14ac:dyDescent="0.3">
      <c r="F822" s="6" t="str">
        <f t="shared" si="19"/>
        <v/>
      </c>
    </row>
    <row r="823" spans="6:6" x14ac:dyDescent="0.3">
      <c r="F823" s="6" t="str">
        <f t="shared" si="19"/>
        <v/>
      </c>
    </row>
    <row r="824" spans="6:6" x14ac:dyDescent="0.3">
      <c r="F824" s="6" t="str">
        <f t="shared" si="19"/>
        <v/>
      </c>
    </row>
    <row r="825" spans="6:6" x14ac:dyDescent="0.3">
      <c r="F825" s="6" t="str">
        <f t="shared" si="19"/>
        <v/>
      </c>
    </row>
    <row r="826" spans="6:6" x14ac:dyDescent="0.3">
      <c r="F826" s="6" t="str">
        <f t="shared" si="19"/>
        <v/>
      </c>
    </row>
    <row r="827" spans="6:6" x14ac:dyDescent="0.3">
      <c r="F827" s="6" t="str">
        <f t="shared" si="19"/>
        <v/>
      </c>
    </row>
    <row r="828" spans="6:6" x14ac:dyDescent="0.3">
      <c r="F828" s="6" t="str">
        <f t="shared" si="19"/>
        <v/>
      </c>
    </row>
    <row r="829" spans="6:6" x14ac:dyDescent="0.3">
      <c r="F829" s="6" t="str">
        <f t="shared" si="19"/>
        <v/>
      </c>
    </row>
    <row r="830" spans="6:6" x14ac:dyDescent="0.3">
      <c r="F830" s="6" t="str">
        <f t="shared" si="19"/>
        <v/>
      </c>
    </row>
    <row r="831" spans="6:6" x14ac:dyDescent="0.3">
      <c r="F831" s="6" t="str">
        <f t="shared" si="19"/>
        <v/>
      </c>
    </row>
    <row r="832" spans="6:6" x14ac:dyDescent="0.3">
      <c r="F832" s="6" t="str">
        <f t="shared" si="19"/>
        <v/>
      </c>
    </row>
    <row r="833" spans="6:6" x14ac:dyDescent="0.3">
      <c r="F833" s="6" t="str">
        <f t="shared" si="19"/>
        <v/>
      </c>
    </row>
    <row r="834" spans="6:6" x14ac:dyDescent="0.3">
      <c r="F834" s="6" t="str">
        <f t="shared" si="19"/>
        <v/>
      </c>
    </row>
    <row r="835" spans="6:6" x14ac:dyDescent="0.3">
      <c r="F835" s="6" t="str">
        <f t="shared" ref="F835:F898" si="20">IF(AND(ISNUMBER(G835),ISNUMBER(H835),ISNUMBER(I835)),DATE(G835,H835,I835),"")</f>
        <v/>
      </c>
    </row>
    <row r="836" spans="6:6" x14ac:dyDescent="0.3">
      <c r="F836" s="6" t="str">
        <f t="shared" si="20"/>
        <v/>
      </c>
    </row>
    <row r="837" spans="6:6" x14ac:dyDescent="0.3">
      <c r="F837" s="6" t="str">
        <f t="shared" si="20"/>
        <v/>
      </c>
    </row>
    <row r="838" spans="6:6" x14ac:dyDescent="0.3">
      <c r="F838" s="6" t="str">
        <f t="shared" si="20"/>
        <v/>
      </c>
    </row>
    <row r="839" spans="6:6" x14ac:dyDescent="0.3">
      <c r="F839" s="6" t="str">
        <f t="shared" si="20"/>
        <v/>
      </c>
    </row>
    <row r="840" spans="6:6" x14ac:dyDescent="0.3">
      <c r="F840" s="6" t="str">
        <f t="shared" si="20"/>
        <v/>
      </c>
    </row>
    <row r="841" spans="6:6" x14ac:dyDescent="0.3">
      <c r="F841" s="6" t="str">
        <f t="shared" si="20"/>
        <v/>
      </c>
    </row>
    <row r="842" spans="6:6" x14ac:dyDescent="0.3">
      <c r="F842" s="6" t="str">
        <f t="shared" si="20"/>
        <v/>
      </c>
    </row>
    <row r="843" spans="6:6" x14ac:dyDescent="0.3">
      <c r="F843" s="6" t="str">
        <f t="shared" si="20"/>
        <v/>
      </c>
    </row>
    <row r="844" spans="6:6" x14ac:dyDescent="0.3">
      <c r="F844" s="6" t="str">
        <f t="shared" si="20"/>
        <v/>
      </c>
    </row>
    <row r="845" spans="6:6" x14ac:dyDescent="0.3">
      <c r="F845" s="6" t="str">
        <f t="shared" si="20"/>
        <v/>
      </c>
    </row>
    <row r="846" spans="6:6" x14ac:dyDescent="0.3">
      <c r="F846" s="6" t="str">
        <f t="shared" si="20"/>
        <v/>
      </c>
    </row>
    <row r="847" spans="6:6" x14ac:dyDescent="0.3">
      <c r="F847" s="6" t="str">
        <f t="shared" si="20"/>
        <v/>
      </c>
    </row>
    <row r="848" spans="6:6" x14ac:dyDescent="0.3">
      <c r="F848" s="6" t="str">
        <f t="shared" si="20"/>
        <v/>
      </c>
    </row>
    <row r="849" spans="6:6" x14ac:dyDescent="0.3">
      <c r="F849" s="6" t="str">
        <f t="shared" si="20"/>
        <v/>
      </c>
    </row>
    <row r="850" spans="6:6" x14ac:dyDescent="0.3">
      <c r="F850" s="6" t="str">
        <f t="shared" si="20"/>
        <v/>
      </c>
    </row>
    <row r="851" spans="6:6" x14ac:dyDescent="0.3">
      <c r="F851" s="6" t="str">
        <f t="shared" si="20"/>
        <v/>
      </c>
    </row>
    <row r="852" spans="6:6" x14ac:dyDescent="0.3">
      <c r="F852" s="6" t="str">
        <f t="shared" si="20"/>
        <v/>
      </c>
    </row>
    <row r="853" spans="6:6" x14ac:dyDescent="0.3">
      <c r="F853" s="6" t="str">
        <f t="shared" si="20"/>
        <v/>
      </c>
    </row>
    <row r="854" spans="6:6" x14ac:dyDescent="0.3">
      <c r="F854" s="6" t="str">
        <f t="shared" si="20"/>
        <v/>
      </c>
    </row>
    <row r="855" spans="6:6" x14ac:dyDescent="0.3">
      <c r="F855" s="6" t="str">
        <f t="shared" si="20"/>
        <v/>
      </c>
    </row>
    <row r="856" spans="6:6" x14ac:dyDescent="0.3">
      <c r="F856" s="6" t="str">
        <f t="shared" si="20"/>
        <v/>
      </c>
    </row>
    <row r="857" spans="6:6" x14ac:dyDescent="0.3">
      <c r="F857" s="6" t="str">
        <f t="shared" si="20"/>
        <v/>
      </c>
    </row>
    <row r="858" spans="6:6" x14ac:dyDescent="0.3">
      <c r="F858" s="6" t="str">
        <f t="shared" si="20"/>
        <v/>
      </c>
    </row>
    <row r="859" spans="6:6" x14ac:dyDescent="0.3">
      <c r="F859" s="6" t="str">
        <f t="shared" si="20"/>
        <v/>
      </c>
    </row>
    <row r="860" spans="6:6" x14ac:dyDescent="0.3">
      <c r="F860" s="6" t="str">
        <f t="shared" si="20"/>
        <v/>
      </c>
    </row>
    <row r="861" spans="6:6" x14ac:dyDescent="0.3">
      <c r="F861" s="6" t="str">
        <f t="shared" si="20"/>
        <v/>
      </c>
    </row>
    <row r="862" spans="6:6" x14ac:dyDescent="0.3">
      <c r="F862" s="6" t="str">
        <f t="shared" si="20"/>
        <v/>
      </c>
    </row>
    <row r="863" spans="6:6" x14ac:dyDescent="0.3">
      <c r="F863" s="6" t="str">
        <f t="shared" si="20"/>
        <v/>
      </c>
    </row>
    <row r="864" spans="6:6" x14ac:dyDescent="0.3">
      <c r="F864" s="6" t="str">
        <f t="shared" si="20"/>
        <v/>
      </c>
    </row>
    <row r="865" spans="6:6" x14ac:dyDescent="0.3">
      <c r="F865" s="6" t="str">
        <f t="shared" si="20"/>
        <v/>
      </c>
    </row>
    <row r="866" spans="6:6" x14ac:dyDescent="0.3">
      <c r="F866" s="6" t="str">
        <f t="shared" si="20"/>
        <v/>
      </c>
    </row>
    <row r="867" spans="6:6" x14ac:dyDescent="0.3">
      <c r="F867" s="6" t="str">
        <f t="shared" si="20"/>
        <v/>
      </c>
    </row>
    <row r="868" spans="6:6" x14ac:dyDescent="0.3">
      <c r="F868" s="6" t="str">
        <f t="shared" si="20"/>
        <v/>
      </c>
    </row>
    <row r="869" spans="6:6" x14ac:dyDescent="0.3">
      <c r="F869" s="6" t="str">
        <f t="shared" si="20"/>
        <v/>
      </c>
    </row>
    <row r="870" spans="6:6" x14ac:dyDescent="0.3">
      <c r="F870" s="6" t="str">
        <f t="shared" si="20"/>
        <v/>
      </c>
    </row>
    <row r="871" spans="6:6" x14ac:dyDescent="0.3">
      <c r="F871" s="6" t="str">
        <f t="shared" si="20"/>
        <v/>
      </c>
    </row>
    <row r="872" spans="6:6" x14ac:dyDescent="0.3">
      <c r="F872" s="6" t="str">
        <f t="shared" si="20"/>
        <v/>
      </c>
    </row>
    <row r="873" spans="6:6" x14ac:dyDescent="0.3">
      <c r="F873" s="6" t="str">
        <f t="shared" si="20"/>
        <v/>
      </c>
    </row>
    <row r="874" spans="6:6" x14ac:dyDescent="0.3">
      <c r="F874" s="6" t="str">
        <f t="shared" si="20"/>
        <v/>
      </c>
    </row>
    <row r="875" spans="6:6" x14ac:dyDescent="0.3">
      <c r="F875" s="6" t="str">
        <f t="shared" si="20"/>
        <v/>
      </c>
    </row>
    <row r="876" spans="6:6" x14ac:dyDescent="0.3">
      <c r="F876" s="6" t="str">
        <f t="shared" si="20"/>
        <v/>
      </c>
    </row>
    <row r="877" spans="6:6" x14ac:dyDescent="0.3">
      <c r="F877" s="6" t="str">
        <f t="shared" si="20"/>
        <v/>
      </c>
    </row>
    <row r="878" spans="6:6" x14ac:dyDescent="0.3">
      <c r="F878" s="6" t="str">
        <f t="shared" si="20"/>
        <v/>
      </c>
    </row>
    <row r="879" spans="6:6" x14ac:dyDescent="0.3">
      <c r="F879" s="6" t="str">
        <f t="shared" si="20"/>
        <v/>
      </c>
    </row>
    <row r="880" spans="6:6" x14ac:dyDescent="0.3">
      <c r="F880" s="6" t="str">
        <f t="shared" si="20"/>
        <v/>
      </c>
    </row>
    <row r="881" spans="6:6" x14ac:dyDescent="0.3">
      <c r="F881" s="6" t="str">
        <f t="shared" si="20"/>
        <v/>
      </c>
    </row>
    <row r="882" spans="6:6" x14ac:dyDescent="0.3">
      <c r="F882" s="6" t="str">
        <f t="shared" si="20"/>
        <v/>
      </c>
    </row>
    <row r="883" spans="6:6" x14ac:dyDescent="0.3">
      <c r="F883" s="6" t="str">
        <f t="shared" si="20"/>
        <v/>
      </c>
    </row>
    <row r="884" spans="6:6" x14ac:dyDescent="0.3">
      <c r="F884" s="6" t="str">
        <f t="shared" si="20"/>
        <v/>
      </c>
    </row>
    <row r="885" spans="6:6" x14ac:dyDescent="0.3">
      <c r="F885" s="6" t="str">
        <f t="shared" si="20"/>
        <v/>
      </c>
    </row>
    <row r="886" spans="6:6" x14ac:dyDescent="0.3">
      <c r="F886" s="6" t="str">
        <f t="shared" si="20"/>
        <v/>
      </c>
    </row>
    <row r="887" spans="6:6" x14ac:dyDescent="0.3">
      <c r="F887" s="6" t="str">
        <f t="shared" si="20"/>
        <v/>
      </c>
    </row>
    <row r="888" spans="6:6" x14ac:dyDescent="0.3">
      <c r="F888" s="6" t="str">
        <f t="shared" si="20"/>
        <v/>
      </c>
    </row>
    <row r="889" spans="6:6" x14ac:dyDescent="0.3">
      <c r="F889" s="6" t="str">
        <f t="shared" si="20"/>
        <v/>
      </c>
    </row>
    <row r="890" spans="6:6" x14ac:dyDescent="0.3">
      <c r="F890" s="6" t="str">
        <f t="shared" si="20"/>
        <v/>
      </c>
    </row>
    <row r="891" spans="6:6" x14ac:dyDescent="0.3">
      <c r="F891" s="6" t="str">
        <f t="shared" si="20"/>
        <v/>
      </c>
    </row>
    <row r="892" spans="6:6" x14ac:dyDescent="0.3">
      <c r="F892" s="6" t="str">
        <f t="shared" si="20"/>
        <v/>
      </c>
    </row>
    <row r="893" spans="6:6" x14ac:dyDescent="0.3">
      <c r="F893" s="6" t="str">
        <f t="shared" si="20"/>
        <v/>
      </c>
    </row>
    <row r="894" spans="6:6" x14ac:dyDescent="0.3">
      <c r="F894" s="6" t="str">
        <f t="shared" si="20"/>
        <v/>
      </c>
    </row>
    <row r="895" spans="6:6" x14ac:dyDescent="0.3">
      <c r="F895" s="6" t="str">
        <f t="shared" si="20"/>
        <v/>
      </c>
    </row>
    <row r="896" spans="6:6" x14ac:dyDescent="0.3">
      <c r="F896" s="6" t="str">
        <f t="shared" si="20"/>
        <v/>
      </c>
    </row>
    <row r="897" spans="6:6" x14ac:dyDescent="0.3">
      <c r="F897" s="6" t="str">
        <f t="shared" si="20"/>
        <v/>
      </c>
    </row>
    <row r="898" spans="6:6" x14ac:dyDescent="0.3">
      <c r="F898" s="6" t="str">
        <f t="shared" si="20"/>
        <v/>
      </c>
    </row>
    <row r="899" spans="6:6" x14ac:dyDescent="0.3">
      <c r="F899" s="6" t="str">
        <f t="shared" ref="F899:F962" si="21">IF(AND(ISNUMBER(G899),ISNUMBER(H899),ISNUMBER(I899)),DATE(G899,H899,I899),"")</f>
        <v/>
      </c>
    </row>
    <row r="900" spans="6:6" x14ac:dyDescent="0.3">
      <c r="F900" s="6" t="str">
        <f t="shared" si="21"/>
        <v/>
      </c>
    </row>
    <row r="901" spans="6:6" x14ac:dyDescent="0.3">
      <c r="F901" s="6" t="str">
        <f t="shared" si="21"/>
        <v/>
      </c>
    </row>
    <row r="902" spans="6:6" x14ac:dyDescent="0.3">
      <c r="F902" s="6" t="str">
        <f t="shared" si="21"/>
        <v/>
      </c>
    </row>
    <row r="903" spans="6:6" x14ac:dyDescent="0.3">
      <c r="F903" s="6" t="str">
        <f t="shared" si="21"/>
        <v/>
      </c>
    </row>
    <row r="904" spans="6:6" x14ac:dyDescent="0.3">
      <c r="F904" s="6" t="str">
        <f t="shared" si="21"/>
        <v/>
      </c>
    </row>
    <row r="905" spans="6:6" x14ac:dyDescent="0.3">
      <c r="F905" s="6" t="str">
        <f t="shared" si="21"/>
        <v/>
      </c>
    </row>
    <row r="906" spans="6:6" x14ac:dyDescent="0.3">
      <c r="F906" s="6" t="str">
        <f t="shared" si="21"/>
        <v/>
      </c>
    </row>
    <row r="907" spans="6:6" x14ac:dyDescent="0.3">
      <c r="F907" s="6" t="str">
        <f t="shared" si="21"/>
        <v/>
      </c>
    </row>
    <row r="908" spans="6:6" x14ac:dyDescent="0.3">
      <c r="F908" s="6" t="str">
        <f t="shared" si="21"/>
        <v/>
      </c>
    </row>
    <row r="909" spans="6:6" x14ac:dyDescent="0.3">
      <c r="F909" s="6" t="str">
        <f t="shared" si="21"/>
        <v/>
      </c>
    </row>
    <row r="910" spans="6:6" x14ac:dyDescent="0.3">
      <c r="F910" s="6" t="str">
        <f t="shared" si="21"/>
        <v/>
      </c>
    </row>
    <row r="911" spans="6:6" x14ac:dyDescent="0.3">
      <c r="F911" s="6" t="str">
        <f t="shared" si="21"/>
        <v/>
      </c>
    </row>
    <row r="912" spans="6:6" x14ac:dyDescent="0.3">
      <c r="F912" s="6" t="str">
        <f t="shared" si="21"/>
        <v/>
      </c>
    </row>
    <row r="913" spans="6:6" x14ac:dyDescent="0.3">
      <c r="F913" s="6" t="str">
        <f t="shared" si="21"/>
        <v/>
      </c>
    </row>
    <row r="914" spans="6:6" x14ac:dyDescent="0.3">
      <c r="F914" s="6" t="str">
        <f t="shared" si="21"/>
        <v/>
      </c>
    </row>
    <row r="915" spans="6:6" x14ac:dyDescent="0.3">
      <c r="F915" s="6" t="str">
        <f t="shared" si="21"/>
        <v/>
      </c>
    </row>
    <row r="916" spans="6:6" x14ac:dyDescent="0.3">
      <c r="F916" s="6" t="str">
        <f t="shared" si="21"/>
        <v/>
      </c>
    </row>
    <row r="917" spans="6:6" x14ac:dyDescent="0.3">
      <c r="F917" s="6" t="str">
        <f t="shared" si="21"/>
        <v/>
      </c>
    </row>
    <row r="918" spans="6:6" x14ac:dyDescent="0.3">
      <c r="F918" s="6" t="str">
        <f t="shared" si="21"/>
        <v/>
      </c>
    </row>
    <row r="919" spans="6:6" x14ac:dyDescent="0.3">
      <c r="F919" s="6" t="str">
        <f t="shared" si="21"/>
        <v/>
      </c>
    </row>
    <row r="920" spans="6:6" x14ac:dyDescent="0.3">
      <c r="F920" s="6" t="str">
        <f t="shared" si="21"/>
        <v/>
      </c>
    </row>
    <row r="921" spans="6:6" x14ac:dyDescent="0.3">
      <c r="F921" s="6" t="str">
        <f t="shared" si="21"/>
        <v/>
      </c>
    </row>
    <row r="922" spans="6:6" x14ac:dyDescent="0.3">
      <c r="F922" s="6" t="str">
        <f t="shared" si="21"/>
        <v/>
      </c>
    </row>
    <row r="923" spans="6:6" x14ac:dyDescent="0.3">
      <c r="F923" s="6" t="str">
        <f t="shared" si="21"/>
        <v/>
      </c>
    </row>
    <row r="924" spans="6:6" x14ac:dyDescent="0.3">
      <c r="F924" s="6" t="str">
        <f t="shared" si="21"/>
        <v/>
      </c>
    </row>
    <row r="925" spans="6:6" x14ac:dyDescent="0.3">
      <c r="F925" s="6" t="str">
        <f t="shared" si="21"/>
        <v/>
      </c>
    </row>
    <row r="926" spans="6:6" x14ac:dyDescent="0.3">
      <c r="F926" s="6" t="str">
        <f t="shared" si="21"/>
        <v/>
      </c>
    </row>
    <row r="927" spans="6:6" x14ac:dyDescent="0.3">
      <c r="F927" s="6" t="str">
        <f t="shared" si="21"/>
        <v/>
      </c>
    </row>
    <row r="928" spans="6:6" x14ac:dyDescent="0.3">
      <c r="F928" s="6" t="str">
        <f t="shared" si="21"/>
        <v/>
      </c>
    </row>
    <row r="929" spans="6:6" x14ac:dyDescent="0.3">
      <c r="F929" s="6" t="str">
        <f t="shared" si="21"/>
        <v/>
      </c>
    </row>
    <row r="930" spans="6:6" x14ac:dyDescent="0.3">
      <c r="F930" s="6" t="str">
        <f t="shared" si="21"/>
        <v/>
      </c>
    </row>
    <row r="931" spans="6:6" x14ac:dyDescent="0.3">
      <c r="F931" s="6" t="str">
        <f t="shared" si="21"/>
        <v/>
      </c>
    </row>
    <row r="932" spans="6:6" x14ac:dyDescent="0.3">
      <c r="F932" s="6" t="str">
        <f t="shared" si="21"/>
        <v/>
      </c>
    </row>
    <row r="933" spans="6:6" x14ac:dyDescent="0.3">
      <c r="F933" s="6" t="str">
        <f t="shared" si="21"/>
        <v/>
      </c>
    </row>
    <row r="934" spans="6:6" x14ac:dyDescent="0.3">
      <c r="F934" s="6" t="str">
        <f t="shared" si="21"/>
        <v/>
      </c>
    </row>
    <row r="935" spans="6:6" x14ac:dyDescent="0.3">
      <c r="F935" s="6" t="str">
        <f t="shared" si="21"/>
        <v/>
      </c>
    </row>
    <row r="936" spans="6:6" x14ac:dyDescent="0.3">
      <c r="F936" s="6" t="str">
        <f t="shared" si="21"/>
        <v/>
      </c>
    </row>
    <row r="937" spans="6:6" x14ac:dyDescent="0.3">
      <c r="F937" s="6" t="str">
        <f t="shared" si="21"/>
        <v/>
      </c>
    </row>
    <row r="938" spans="6:6" x14ac:dyDescent="0.3">
      <c r="F938" s="6" t="str">
        <f t="shared" si="21"/>
        <v/>
      </c>
    </row>
    <row r="939" spans="6:6" x14ac:dyDescent="0.3">
      <c r="F939" s="6" t="str">
        <f t="shared" si="21"/>
        <v/>
      </c>
    </row>
    <row r="940" spans="6:6" x14ac:dyDescent="0.3">
      <c r="F940" s="6" t="str">
        <f t="shared" si="21"/>
        <v/>
      </c>
    </row>
    <row r="941" spans="6:6" x14ac:dyDescent="0.3">
      <c r="F941" s="6" t="str">
        <f t="shared" si="21"/>
        <v/>
      </c>
    </row>
    <row r="942" spans="6:6" x14ac:dyDescent="0.3">
      <c r="F942" s="6" t="str">
        <f t="shared" si="21"/>
        <v/>
      </c>
    </row>
    <row r="943" spans="6:6" x14ac:dyDescent="0.3">
      <c r="F943" s="6" t="str">
        <f t="shared" si="21"/>
        <v/>
      </c>
    </row>
    <row r="944" spans="6:6" x14ac:dyDescent="0.3">
      <c r="F944" s="6" t="str">
        <f t="shared" si="21"/>
        <v/>
      </c>
    </row>
    <row r="945" spans="6:6" x14ac:dyDescent="0.3">
      <c r="F945" s="6" t="str">
        <f t="shared" si="21"/>
        <v/>
      </c>
    </row>
    <row r="946" spans="6:6" x14ac:dyDescent="0.3">
      <c r="F946" s="6" t="str">
        <f t="shared" si="21"/>
        <v/>
      </c>
    </row>
    <row r="947" spans="6:6" x14ac:dyDescent="0.3">
      <c r="F947" s="6" t="str">
        <f t="shared" si="21"/>
        <v/>
      </c>
    </row>
    <row r="948" spans="6:6" x14ac:dyDescent="0.3">
      <c r="F948" s="6" t="str">
        <f t="shared" si="21"/>
        <v/>
      </c>
    </row>
    <row r="949" spans="6:6" x14ac:dyDescent="0.3">
      <c r="F949" s="6" t="str">
        <f t="shared" si="21"/>
        <v/>
      </c>
    </row>
    <row r="950" spans="6:6" x14ac:dyDescent="0.3">
      <c r="F950" s="6" t="str">
        <f t="shared" si="21"/>
        <v/>
      </c>
    </row>
    <row r="951" spans="6:6" x14ac:dyDescent="0.3">
      <c r="F951" s="6" t="str">
        <f t="shared" si="21"/>
        <v/>
      </c>
    </row>
    <row r="952" spans="6:6" x14ac:dyDescent="0.3">
      <c r="F952" s="6" t="str">
        <f t="shared" si="21"/>
        <v/>
      </c>
    </row>
    <row r="953" spans="6:6" x14ac:dyDescent="0.3">
      <c r="F953" s="6" t="str">
        <f t="shared" si="21"/>
        <v/>
      </c>
    </row>
    <row r="954" spans="6:6" x14ac:dyDescent="0.3">
      <c r="F954" s="6" t="str">
        <f t="shared" si="21"/>
        <v/>
      </c>
    </row>
    <row r="955" spans="6:6" x14ac:dyDescent="0.3">
      <c r="F955" s="6" t="str">
        <f t="shared" si="21"/>
        <v/>
      </c>
    </row>
    <row r="956" spans="6:6" x14ac:dyDescent="0.3">
      <c r="F956" s="6" t="str">
        <f t="shared" si="21"/>
        <v/>
      </c>
    </row>
    <row r="957" spans="6:6" x14ac:dyDescent="0.3">
      <c r="F957" s="6" t="str">
        <f t="shared" si="21"/>
        <v/>
      </c>
    </row>
    <row r="958" spans="6:6" x14ac:dyDescent="0.3">
      <c r="F958" s="6" t="str">
        <f t="shared" si="21"/>
        <v/>
      </c>
    </row>
    <row r="959" spans="6:6" x14ac:dyDescent="0.3">
      <c r="F959" s="6" t="str">
        <f t="shared" si="21"/>
        <v/>
      </c>
    </row>
    <row r="960" spans="6:6" x14ac:dyDescent="0.3">
      <c r="F960" s="6" t="str">
        <f t="shared" si="21"/>
        <v/>
      </c>
    </row>
    <row r="961" spans="6:6" x14ac:dyDescent="0.3">
      <c r="F961" s="6" t="str">
        <f t="shared" si="21"/>
        <v/>
      </c>
    </row>
    <row r="962" spans="6:6" x14ac:dyDescent="0.3">
      <c r="F962" s="6" t="str">
        <f t="shared" si="21"/>
        <v/>
      </c>
    </row>
    <row r="963" spans="6:6" x14ac:dyDescent="0.3">
      <c r="F963" s="6" t="str">
        <f t="shared" ref="F963:F1000" si="22">IF(AND(ISNUMBER(G963),ISNUMBER(H963),ISNUMBER(I963)),DATE(G963,H963,I963),"")</f>
        <v/>
      </c>
    </row>
    <row r="964" spans="6:6" x14ac:dyDescent="0.3">
      <c r="F964" s="6" t="str">
        <f t="shared" si="22"/>
        <v/>
      </c>
    </row>
    <row r="965" spans="6:6" x14ac:dyDescent="0.3">
      <c r="F965" s="6" t="str">
        <f t="shared" si="22"/>
        <v/>
      </c>
    </row>
    <row r="966" spans="6:6" x14ac:dyDescent="0.3">
      <c r="F966" s="6" t="str">
        <f t="shared" si="22"/>
        <v/>
      </c>
    </row>
    <row r="967" spans="6:6" x14ac:dyDescent="0.3">
      <c r="F967" s="6" t="str">
        <f t="shared" si="22"/>
        <v/>
      </c>
    </row>
    <row r="968" spans="6:6" x14ac:dyDescent="0.3">
      <c r="F968" s="6" t="str">
        <f t="shared" si="22"/>
        <v/>
      </c>
    </row>
    <row r="969" spans="6:6" x14ac:dyDescent="0.3">
      <c r="F969" s="6" t="str">
        <f t="shared" si="22"/>
        <v/>
      </c>
    </row>
    <row r="970" spans="6:6" x14ac:dyDescent="0.3">
      <c r="F970" s="6" t="str">
        <f t="shared" si="22"/>
        <v/>
      </c>
    </row>
    <row r="971" spans="6:6" x14ac:dyDescent="0.3">
      <c r="F971" s="6" t="str">
        <f t="shared" si="22"/>
        <v/>
      </c>
    </row>
    <row r="972" spans="6:6" x14ac:dyDescent="0.3">
      <c r="F972" s="6" t="str">
        <f t="shared" si="22"/>
        <v/>
      </c>
    </row>
    <row r="973" spans="6:6" x14ac:dyDescent="0.3">
      <c r="F973" s="6" t="str">
        <f t="shared" si="22"/>
        <v/>
      </c>
    </row>
    <row r="974" spans="6:6" x14ac:dyDescent="0.3">
      <c r="F974" s="6" t="str">
        <f t="shared" si="22"/>
        <v/>
      </c>
    </row>
    <row r="975" spans="6:6" x14ac:dyDescent="0.3">
      <c r="F975" s="6" t="str">
        <f t="shared" si="22"/>
        <v/>
      </c>
    </row>
    <row r="976" spans="6:6" x14ac:dyDescent="0.3">
      <c r="F976" s="6" t="str">
        <f t="shared" si="22"/>
        <v/>
      </c>
    </row>
    <row r="977" spans="6:6" x14ac:dyDescent="0.3">
      <c r="F977" s="6" t="str">
        <f t="shared" si="22"/>
        <v/>
      </c>
    </row>
    <row r="978" spans="6:6" x14ac:dyDescent="0.3">
      <c r="F978" s="6" t="str">
        <f t="shared" si="22"/>
        <v/>
      </c>
    </row>
    <row r="979" spans="6:6" x14ac:dyDescent="0.3">
      <c r="F979" s="6" t="str">
        <f t="shared" si="22"/>
        <v/>
      </c>
    </row>
    <row r="980" spans="6:6" x14ac:dyDescent="0.3">
      <c r="F980" s="6" t="str">
        <f t="shared" si="22"/>
        <v/>
      </c>
    </row>
    <row r="981" spans="6:6" x14ac:dyDescent="0.3">
      <c r="F981" s="6" t="str">
        <f t="shared" si="22"/>
        <v/>
      </c>
    </row>
    <row r="982" spans="6:6" x14ac:dyDescent="0.3">
      <c r="F982" s="6" t="str">
        <f t="shared" si="22"/>
        <v/>
      </c>
    </row>
    <row r="983" spans="6:6" x14ac:dyDescent="0.3">
      <c r="F983" s="6" t="str">
        <f t="shared" si="22"/>
        <v/>
      </c>
    </row>
    <row r="984" spans="6:6" x14ac:dyDescent="0.3">
      <c r="F984" s="6" t="str">
        <f t="shared" si="22"/>
        <v/>
      </c>
    </row>
    <row r="985" spans="6:6" x14ac:dyDescent="0.3">
      <c r="F985" s="6" t="str">
        <f t="shared" si="22"/>
        <v/>
      </c>
    </row>
    <row r="986" spans="6:6" x14ac:dyDescent="0.3">
      <c r="F986" s="6" t="str">
        <f t="shared" si="22"/>
        <v/>
      </c>
    </row>
    <row r="987" spans="6:6" x14ac:dyDescent="0.3">
      <c r="F987" s="6" t="str">
        <f t="shared" si="22"/>
        <v/>
      </c>
    </row>
    <row r="988" spans="6:6" x14ac:dyDescent="0.3">
      <c r="F988" s="6" t="str">
        <f t="shared" si="22"/>
        <v/>
      </c>
    </row>
    <row r="989" spans="6:6" x14ac:dyDescent="0.3">
      <c r="F989" s="6" t="str">
        <f t="shared" si="22"/>
        <v/>
      </c>
    </row>
    <row r="990" spans="6:6" x14ac:dyDescent="0.3">
      <c r="F990" s="6" t="str">
        <f t="shared" si="22"/>
        <v/>
      </c>
    </row>
    <row r="991" spans="6:6" x14ac:dyDescent="0.3">
      <c r="F991" s="6" t="str">
        <f t="shared" si="22"/>
        <v/>
      </c>
    </row>
    <row r="992" spans="6:6" x14ac:dyDescent="0.3">
      <c r="F992" s="6" t="str">
        <f t="shared" si="22"/>
        <v/>
      </c>
    </row>
    <row r="993" spans="6:6" x14ac:dyDescent="0.3">
      <c r="F993" s="6" t="str">
        <f t="shared" si="22"/>
        <v/>
      </c>
    </row>
    <row r="994" spans="6:6" x14ac:dyDescent="0.3">
      <c r="F994" s="6" t="str">
        <f t="shared" si="22"/>
        <v/>
      </c>
    </row>
    <row r="995" spans="6:6" x14ac:dyDescent="0.3">
      <c r="F995" s="6" t="str">
        <f t="shared" si="22"/>
        <v/>
      </c>
    </row>
    <row r="996" spans="6:6" x14ac:dyDescent="0.3">
      <c r="F996" s="6" t="str">
        <f t="shared" si="22"/>
        <v/>
      </c>
    </row>
    <row r="997" spans="6:6" x14ac:dyDescent="0.3">
      <c r="F997" s="6" t="str">
        <f t="shared" si="22"/>
        <v/>
      </c>
    </row>
    <row r="998" spans="6:6" x14ac:dyDescent="0.3">
      <c r="F998" s="6" t="str">
        <f t="shared" si="22"/>
        <v/>
      </c>
    </row>
    <row r="999" spans="6:6" x14ac:dyDescent="0.3">
      <c r="F999" s="6" t="str">
        <f t="shared" si="22"/>
        <v/>
      </c>
    </row>
    <row r="1000" spans="6:6" x14ac:dyDescent="0.3">
      <c r="F1000" s="6" t="str">
        <f t="shared" si="22"/>
        <v/>
      </c>
    </row>
  </sheetData>
  <dataValidations count="12">
    <dataValidation type="list" showInputMessage="1" showErrorMessage="1" sqref="B2:B1000" xr:uid="{00000000-0002-0000-0000-000000000000}">
      <formula1>"OKANAGAN,KALAMALKA,WOOD,SKAHA"</formula1>
    </dataValidation>
    <dataValidation type="whole" showInputMessage="1" showErrorMessage="1" error="Year must be between 1970 and the current year." sqref="G2:G1000" xr:uid="{00000000-0002-0000-0000-000002000000}">
      <formula1>1970</formula1>
      <formula2>2025</formula2>
    </dataValidation>
    <dataValidation type="whole" showInputMessage="1" showErrorMessage="1" error="Month must be between 1 and 12." sqref="H2:H1000" xr:uid="{00000000-0002-0000-0000-000003000000}">
      <formula1>1</formula1>
      <formula2>12</formula2>
    </dataValidation>
    <dataValidation type="whole" showInputMessage="1" showErrorMessage="1" error="Day must be between 1 and 31." sqref="I2:J1000" xr:uid="{00000000-0002-0000-0000-000004000000}">
      <formula1>1</formula1>
      <formula2>31</formula2>
    </dataValidation>
    <dataValidation type="whole" operator="greaterThanOrEqual" showInputMessage="1" showErrorMessage="1" error="Count must be 0 or greater." sqref="K2:L1000" xr:uid="{00000000-0002-0000-0000-000005000000}">
      <formula1>0</formula1>
    </dataValidation>
    <dataValidation type="decimal" showInputMessage="1" showErrorMessage="1" error="Temperature must be between 4 and 24 °C." sqref="M2:M1000" xr:uid="{00000000-0002-0000-0000-000006000000}">
      <formula1>4</formula1>
      <formula2>24</formula2>
    </dataValidation>
    <dataValidation type="list" showDropDown="1" showInputMessage="1" showErrorMessage="1" sqref="B2:B1000" xr:uid="{00000000-0002-0000-0000-000007000000}">
      <formula1>"KALAMALKA,OKANAGAN,SKAHA,WOOD"</formula1>
    </dataValidation>
    <dataValidation type="list" allowBlank="1" showInputMessage="1" showErrorMessage="1" sqref="D2:D1000" xr:uid="{037A155E-9F9B-4EC8-8782-939DE24106A7}">
      <formula1>INDIRECT(B2)</formula1>
    </dataValidation>
    <dataValidation type="textLength" allowBlank="1" showInputMessage="1" showErrorMessage="1" sqref="N2:N1000" xr:uid="{48DCD69B-8996-48C8-85DD-30C72E45C1C8}">
      <formula1>0</formula1>
      <formula2>120</formula2>
    </dataValidation>
    <dataValidation type="list" showInputMessage="1" showErrorMessage="1" sqref="C2:C1000" xr:uid="{A0ABEB8F-F5F3-4C7A-AAC4-046AD48C6044}">
      <formula1>"NE, SE, SW, NW"</formula1>
    </dataValidation>
    <dataValidation type="list" allowBlank="1" showInputMessage="1" showErrorMessage="1" sqref="C2:C1000" xr:uid="{6D158C9E-C9D1-4290-BB77-77618772EA4A}">
      <formula1>"NE, SE, SW, NW"</formula1>
    </dataValidation>
    <dataValidation type="list" showInputMessage="1" showErrorMessage="1" sqref="A2:A1000" xr:uid="{8257D202-68A8-454A-A7B1-112F791105D3}">
      <formula1>"STREAM, SHORE"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6" sqref="B6"/>
    </sheetView>
  </sheetViews>
  <sheetFormatPr defaultRowHeight="14.4" x14ac:dyDescent="0.3"/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 t="s">
        <v>18</v>
      </c>
      <c r="D2" t="s">
        <v>19</v>
      </c>
    </row>
    <row r="3" spans="1:4" x14ac:dyDescent="0.3">
      <c r="B3" t="s">
        <v>36</v>
      </c>
      <c r="C3" t="s">
        <v>20</v>
      </c>
      <c r="D3" t="s">
        <v>21</v>
      </c>
    </row>
    <row r="4" spans="1:4" x14ac:dyDescent="0.3">
      <c r="B4" t="s">
        <v>22</v>
      </c>
      <c r="C4" t="s">
        <v>23</v>
      </c>
      <c r="D4" t="s">
        <v>24</v>
      </c>
    </row>
    <row r="5" spans="1:4" x14ac:dyDescent="0.3">
      <c r="B5" t="s">
        <v>37</v>
      </c>
    </row>
    <row r="6" spans="1:4" x14ac:dyDescent="0.3">
      <c r="B6" t="s">
        <v>25</v>
      </c>
    </row>
    <row r="7" spans="1:4" x14ac:dyDescent="0.3">
      <c r="B7" t="s">
        <v>26</v>
      </c>
    </row>
    <row r="8" spans="1:4" x14ac:dyDescent="0.3">
      <c r="B8" t="s">
        <v>38</v>
      </c>
    </row>
    <row r="9" spans="1:4" x14ac:dyDescent="0.3">
      <c r="B9" t="s">
        <v>27</v>
      </c>
    </row>
    <row r="10" spans="1:4" x14ac:dyDescent="0.3">
      <c r="B10" t="s">
        <v>28</v>
      </c>
    </row>
    <row r="11" spans="1:4" x14ac:dyDescent="0.3">
      <c r="B11" t="s">
        <v>29</v>
      </c>
    </row>
    <row r="12" spans="1:4" x14ac:dyDescent="0.3">
      <c r="B12" t="s">
        <v>30</v>
      </c>
    </row>
    <row r="13" spans="1:4" x14ac:dyDescent="0.3">
      <c r="B13" t="s">
        <v>31</v>
      </c>
    </row>
    <row r="14" spans="1:4" x14ac:dyDescent="0.3">
      <c r="B14" t="s">
        <v>32</v>
      </c>
    </row>
    <row r="15" spans="1:4" x14ac:dyDescent="0.3">
      <c r="B15" t="s">
        <v>33</v>
      </c>
    </row>
    <row r="16" spans="1:4" x14ac:dyDescent="0.3">
      <c r="B16" t="s">
        <v>34</v>
      </c>
    </row>
    <row r="17" spans="2:2" x14ac:dyDescent="0.3">
      <c r="B17" t="s">
        <v>35</v>
      </c>
    </row>
    <row r="18" spans="2:2" x14ac:dyDescent="0.3">
      <c r="B18" t="s">
        <v>39</v>
      </c>
    </row>
  </sheetData>
  <sheetProtection sheet="1" objects="1" scenarios="1"/>
  <sortState xmlns:xlrd2="http://schemas.microsoft.com/office/spreadsheetml/2017/richdata2" ref="B2:B18">
    <sortCondition ref="B2:B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spawner_count_template</vt:lpstr>
      <vt:lpstr>ValidationLists</vt:lpstr>
      <vt:lpstr>KALAMALKA</vt:lpstr>
      <vt:lpstr>OKANAGAN</vt:lpstr>
      <vt:lpstr>SKAHA</vt:lpstr>
      <vt:lpstr>WOOD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Askey</cp:lastModifiedBy>
  <dcterms:created xsi:type="dcterms:W3CDTF">2025-07-23T18:26:08Z</dcterms:created>
  <dcterms:modified xsi:type="dcterms:W3CDTF">2025-11-20T19:59:11Z</dcterms:modified>
</cp:coreProperties>
</file>